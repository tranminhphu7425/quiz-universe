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tueduvn-my.sharepoint.com/personal/phub2306573_student_ctu_edu_vn/Documents/Files/Documents/Học tập/Chương trình đại học/Xác suất thống kê/"/>
    </mc:Choice>
  </mc:AlternateContent>
  <xr:revisionPtr revIDLastSave="5" documentId="13_ncr:1_{D8811626-C65E-4BFF-A6A3-FAF6BB5B1D33}" xr6:coauthVersionLast="47" xr6:coauthVersionMax="47" xr10:uidLastSave="{D60903D6-A273-44AA-B4D3-8958DB735E48}"/>
  <bookViews>
    <workbookView xWindow="-120" yWindow="-120" windowWidth="29040" windowHeight="16440" xr2:uid="{00000000-000D-0000-FFFF-FFFF00000000}"/>
  </bookViews>
  <sheets>
    <sheet name="Tổng hợp" sheetId="6" r:id="rId1"/>
    <sheet name="Điểm Ktra và điểm thi" sheetId="4" r:id="rId2"/>
    <sheet name="Điểm danh" sheetId="3" r:id="rId3"/>
    <sheet name="Điểm bài tập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H4" i="6"/>
  <c r="H5" i="6"/>
  <c r="H6" i="6"/>
  <c r="H7" i="6"/>
  <c r="H8" i="6"/>
  <c r="H9" i="6"/>
  <c r="H15" i="6"/>
  <c r="H16" i="6"/>
  <c r="H17" i="6"/>
  <c r="H18" i="6"/>
  <c r="H19" i="6"/>
  <c r="H20" i="6"/>
  <c r="H21" i="6"/>
  <c r="H27" i="6"/>
  <c r="H28" i="6"/>
  <c r="H29" i="6"/>
  <c r="H30" i="6"/>
  <c r="H31" i="6"/>
  <c r="H32" i="6"/>
  <c r="H33" i="6"/>
  <c r="H39" i="6"/>
  <c r="H40" i="6"/>
  <c r="H41" i="6"/>
  <c r="H42" i="6"/>
  <c r="H43" i="6"/>
  <c r="H44" i="6"/>
  <c r="H45" i="6"/>
  <c r="H51" i="6"/>
  <c r="H52" i="6"/>
  <c r="H53" i="6"/>
  <c r="H54" i="6"/>
  <c r="H55" i="6"/>
  <c r="H56" i="6"/>
  <c r="H57" i="6"/>
  <c r="H63" i="6"/>
  <c r="H64" i="6"/>
  <c r="H65" i="6"/>
  <c r="H66" i="6"/>
  <c r="H67" i="6"/>
  <c r="H68" i="6"/>
  <c r="H69" i="6"/>
  <c r="H75" i="6"/>
  <c r="H76" i="6"/>
  <c r="H77" i="6"/>
  <c r="H78" i="6"/>
  <c r="H79" i="6"/>
  <c r="H80" i="6"/>
  <c r="H81" i="6"/>
  <c r="H87" i="6"/>
  <c r="H88" i="6"/>
  <c r="H89" i="6"/>
  <c r="H90" i="6"/>
  <c r="H91" i="6"/>
  <c r="H92" i="6"/>
  <c r="H93" i="6"/>
  <c r="G3" i="4"/>
  <c r="G4" i="4"/>
  <c r="G5" i="4"/>
  <c r="G6" i="4"/>
  <c r="G7" i="4"/>
  <c r="G8" i="4"/>
  <c r="G9" i="4"/>
  <c r="H10" i="6" s="1"/>
  <c r="G10" i="4"/>
  <c r="H11" i="6" s="1"/>
  <c r="G11" i="4"/>
  <c r="H12" i="6" s="1"/>
  <c r="G12" i="4"/>
  <c r="H13" i="6" s="1"/>
  <c r="G13" i="4"/>
  <c r="H14" i="6" s="1"/>
  <c r="G14" i="4"/>
  <c r="G15" i="4"/>
  <c r="G16" i="4"/>
  <c r="G17" i="4"/>
  <c r="G18" i="4"/>
  <c r="G19" i="4"/>
  <c r="G20" i="4"/>
  <c r="G21" i="4"/>
  <c r="H22" i="6" s="1"/>
  <c r="G22" i="4"/>
  <c r="H23" i="6" s="1"/>
  <c r="G23" i="4"/>
  <c r="H24" i="6" s="1"/>
  <c r="G24" i="4"/>
  <c r="H25" i="6" s="1"/>
  <c r="G25" i="4"/>
  <c r="H26" i="6" s="1"/>
  <c r="G26" i="4"/>
  <c r="G27" i="4"/>
  <c r="G28" i="4"/>
  <c r="G29" i="4"/>
  <c r="G30" i="4"/>
  <c r="G31" i="4"/>
  <c r="G32" i="4"/>
  <c r="G33" i="4"/>
  <c r="H34" i="6" s="1"/>
  <c r="G34" i="4"/>
  <c r="H35" i="6" s="1"/>
  <c r="G35" i="4"/>
  <c r="H36" i="6" s="1"/>
  <c r="G36" i="4"/>
  <c r="H37" i="6" s="1"/>
  <c r="G37" i="4"/>
  <c r="H38" i="6" s="1"/>
  <c r="G38" i="4"/>
  <c r="G39" i="4"/>
  <c r="G40" i="4"/>
  <c r="G41" i="4"/>
  <c r="G42" i="4"/>
  <c r="G43" i="4"/>
  <c r="G44" i="4"/>
  <c r="G45" i="4"/>
  <c r="H46" i="6" s="1"/>
  <c r="G46" i="4"/>
  <c r="H47" i="6" s="1"/>
  <c r="G47" i="4"/>
  <c r="H48" i="6" s="1"/>
  <c r="G48" i="4"/>
  <c r="H49" i="6" s="1"/>
  <c r="G49" i="4"/>
  <c r="H50" i="6" s="1"/>
  <c r="G50" i="4"/>
  <c r="G51" i="4"/>
  <c r="G52" i="4"/>
  <c r="G53" i="4"/>
  <c r="G54" i="4"/>
  <c r="G55" i="4"/>
  <c r="G56" i="4"/>
  <c r="G57" i="4"/>
  <c r="H58" i="6" s="1"/>
  <c r="G58" i="4"/>
  <c r="H59" i="6" s="1"/>
  <c r="G59" i="4"/>
  <c r="H60" i="6" s="1"/>
  <c r="G60" i="4"/>
  <c r="H61" i="6" s="1"/>
  <c r="G61" i="4"/>
  <c r="H62" i="6" s="1"/>
  <c r="G62" i="4"/>
  <c r="G63" i="4"/>
  <c r="G64" i="4"/>
  <c r="G65" i="4"/>
  <c r="G66" i="4"/>
  <c r="G67" i="4"/>
  <c r="G68" i="4"/>
  <c r="G69" i="4"/>
  <c r="H70" i="6" s="1"/>
  <c r="G70" i="4"/>
  <c r="H71" i="6" s="1"/>
  <c r="G71" i="4"/>
  <c r="H72" i="6" s="1"/>
  <c r="G72" i="4"/>
  <c r="H73" i="6" s="1"/>
  <c r="G73" i="4"/>
  <c r="H74" i="6" s="1"/>
  <c r="G74" i="4"/>
  <c r="G75" i="4"/>
  <c r="G76" i="4"/>
  <c r="G77" i="4"/>
  <c r="G78" i="4"/>
  <c r="G79" i="4"/>
  <c r="G80" i="4"/>
  <c r="G81" i="4"/>
  <c r="H82" i="6" s="1"/>
  <c r="G82" i="4"/>
  <c r="H83" i="6" s="1"/>
  <c r="G83" i="4"/>
  <c r="H84" i="6" s="1"/>
  <c r="G84" i="4"/>
  <c r="H85" i="6" s="1"/>
  <c r="G85" i="4"/>
  <c r="H86" i="6" s="1"/>
  <c r="G86" i="4"/>
  <c r="G87" i="4"/>
  <c r="G88" i="4"/>
  <c r="G89" i="4"/>
  <c r="G90" i="4"/>
  <c r="G91" i="4"/>
  <c r="G92" i="4"/>
  <c r="G93" i="4"/>
  <c r="H94" i="6" s="1"/>
  <c r="G2" i="4"/>
  <c r="H3" i="6" s="1"/>
  <c r="J3" i="6" s="1"/>
  <c r="E3" i="3"/>
  <c r="D3" i="3" s="1"/>
  <c r="E4" i="6" s="1"/>
  <c r="G4" i="6" s="1"/>
  <c r="E4" i="3"/>
  <c r="D4" i="3" s="1"/>
  <c r="E5" i="6" s="1"/>
  <c r="G5" i="6" s="1"/>
  <c r="I5" i="6" s="1"/>
  <c r="E5" i="3"/>
  <c r="D5" i="3" s="1"/>
  <c r="E6" i="6" s="1"/>
  <c r="E6" i="3"/>
  <c r="D6" i="3" s="1"/>
  <c r="E7" i="6" s="1"/>
  <c r="E7" i="3"/>
  <c r="E8" i="3"/>
  <c r="E9" i="3"/>
  <c r="E10" i="3"/>
  <c r="E11" i="3"/>
  <c r="D11" i="3" s="1"/>
  <c r="E12" i="6" s="1"/>
  <c r="E12" i="3"/>
  <c r="E13" i="3"/>
  <c r="E14" i="3"/>
  <c r="E15" i="3"/>
  <c r="E16" i="3"/>
  <c r="E17" i="3"/>
  <c r="D17" i="3" s="1"/>
  <c r="E18" i="6" s="1"/>
  <c r="E18" i="3"/>
  <c r="D18" i="3" s="1"/>
  <c r="E19" i="6" s="1"/>
  <c r="E19" i="3"/>
  <c r="D19" i="3" s="1"/>
  <c r="E20" i="6" s="1"/>
  <c r="E20" i="3"/>
  <c r="E21" i="3"/>
  <c r="E22" i="3"/>
  <c r="E23" i="3"/>
  <c r="E24" i="3"/>
  <c r="E25" i="3"/>
  <c r="E26" i="3"/>
  <c r="D26" i="3" s="1"/>
  <c r="G27" i="6" s="1"/>
  <c r="J27" i="6" s="1"/>
  <c r="E27" i="3"/>
  <c r="D27" i="3" s="1"/>
  <c r="E28" i="6" s="1"/>
  <c r="G28" i="6" s="1"/>
  <c r="E28" i="3"/>
  <c r="D28" i="3" s="1"/>
  <c r="E29" i="6" s="1"/>
  <c r="E29" i="3"/>
  <c r="D29" i="3" s="1"/>
  <c r="E30" i="6" s="1"/>
  <c r="E30" i="3"/>
  <c r="D30" i="3" s="1"/>
  <c r="E31" i="6" s="1"/>
  <c r="E31" i="3"/>
  <c r="E32" i="3"/>
  <c r="E33" i="3"/>
  <c r="E34" i="3"/>
  <c r="E35" i="3"/>
  <c r="E36" i="3"/>
  <c r="E37" i="3"/>
  <c r="E38" i="3"/>
  <c r="E39" i="3"/>
  <c r="D39" i="3" s="1"/>
  <c r="E40" i="6" s="1"/>
  <c r="E40" i="3"/>
  <c r="D40" i="3" s="1"/>
  <c r="E41" i="6" s="1"/>
  <c r="E41" i="3"/>
  <c r="E42" i="3"/>
  <c r="E43" i="3"/>
  <c r="E44" i="3"/>
  <c r="E45" i="3"/>
  <c r="E46" i="3"/>
  <c r="D46" i="3" s="1"/>
  <c r="E47" i="6" s="1"/>
  <c r="E47" i="3"/>
  <c r="D47" i="3" s="1"/>
  <c r="G48" i="6" s="1"/>
  <c r="E48" i="3"/>
  <c r="E49" i="3"/>
  <c r="E50" i="3"/>
  <c r="D50" i="3" s="1"/>
  <c r="E51" i="6" s="1"/>
  <c r="E51" i="3"/>
  <c r="D51" i="3" s="1"/>
  <c r="E52" i="6" s="1"/>
  <c r="E52" i="3"/>
  <c r="D52" i="3" s="1"/>
  <c r="E53" i="6" s="1"/>
  <c r="E53" i="3"/>
  <c r="D53" i="3" s="1"/>
  <c r="E54" i="6" s="1"/>
  <c r="E54" i="3"/>
  <c r="D54" i="3" s="1"/>
  <c r="E55" i="6" s="1"/>
  <c r="E55" i="3"/>
  <c r="E56" i="3"/>
  <c r="D56" i="3" s="1"/>
  <c r="E57" i="6" s="1"/>
  <c r="E57" i="3"/>
  <c r="E58" i="3"/>
  <c r="E59" i="3"/>
  <c r="E60" i="3"/>
  <c r="E61" i="3"/>
  <c r="E62" i="3"/>
  <c r="E63" i="3"/>
  <c r="D63" i="3" s="1"/>
  <c r="E64" i="6" s="1"/>
  <c r="E64" i="3"/>
  <c r="D64" i="3" s="1"/>
  <c r="E65" i="6" s="1"/>
  <c r="G65" i="6" s="1"/>
  <c r="J65" i="6" s="1"/>
  <c r="E65" i="3"/>
  <c r="D65" i="3" s="1"/>
  <c r="E66" i="6" s="1"/>
  <c r="G66" i="6" s="1"/>
  <c r="E66" i="3"/>
  <c r="E67" i="3"/>
  <c r="E68" i="3"/>
  <c r="D68" i="3" s="1"/>
  <c r="E69" i="6" s="1"/>
  <c r="E69" i="3"/>
  <c r="E70" i="3"/>
  <c r="D70" i="3" s="1"/>
  <c r="E71" i="3"/>
  <c r="D71" i="3" s="1"/>
  <c r="E72" i="3"/>
  <c r="E73" i="3"/>
  <c r="D73" i="3" s="1"/>
  <c r="E74" i="6" s="1"/>
  <c r="E74" i="3"/>
  <c r="D74" i="3" s="1"/>
  <c r="E75" i="6" s="1"/>
  <c r="E75" i="3"/>
  <c r="D75" i="3" s="1"/>
  <c r="E76" i="6" s="1"/>
  <c r="E76" i="3"/>
  <c r="E77" i="3"/>
  <c r="D77" i="3" s="1"/>
  <c r="E78" i="6" s="1"/>
  <c r="E78" i="3"/>
  <c r="D78" i="3" s="1"/>
  <c r="E79" i="6" s="1"/>
  <c r="E79" i="3"/>
  <c r="E80" i="3"/>
  <c r="E81" i="3"/>
  <c r="E82" i="3"/>
  <c r="D82" i="3" s="1"/>
  <c r="E83" i="6" s="1"/>
  <c r="E83" i="3"/>
  <c r="E84" i="3"/>
  <c r="E85" i="3"/>
  <c r="E86" i="3"/>
  <c r="E87" i="3"/>
  <c r="E88" i="3"/>
  <c r="E89" i="3"/>
  <c r="D89" i="3" s="1"/>
  <c r="E90" i="6" s="1"/>
  <c r="G90" i="6" s="1"/>
  <c r="E90" i="3"/>
  <c r="D90" i="3" s="1"/>
  <c r="E91" i="6" s="1"/>
  <c r="E91" i="3"/>
  <c r="E92" i="3"/>
  <c r="E93" i="3"/>
  <c r="E2" i="3"/>
  <c r="D2" i="3" s="1"/>
  <c r="G3" i="6" s="1"/>
  <c r="D3" i="1"/>
  <c r="D4" i="1"/>
  <c r="D5" i="1"/>
  <c r="D6" i="1"/>
  <c r="D7" i="1"/>
  <c r="D8" i="1"/>
  <c r="D9" i="1"/>
  <c r="D10" i="1"/>
  <c r="D11" i="1"/>
  <c r="D12" i="6" s="1"/>
  <c r="D12" i="1"/>
  <c r="D13" i="6" s="1"/>
  <c r="D13" i="1"/>
  <c r="D14" i="6" s="1"/>
  <c r="D14" i="1"/>
  <c r="D15" i="6" s="1"/>
  <c r="D15" i="1"/>
  <c r="D16" i="1"/>
  <c r="D17" i="1"/>
  <c r="D18" i="1"/>
  <c r="D19" i="1"/>
  <c r="D20" i="1"/>
  <c r="D21" i="1"/>
  <c r="D22" i="6" s="1"/>
  <c r="D22" i="1"/>
  <c r="D23" i="6" s="1"/>
  <c r="D23" i="1"/>
  <c r="D24" i="6" s="1"/>
  <c r="D24" i="1"/>
  <c r="D25" i="6" s="1"/>
  <c r="D25" i="1"/>
  <c r="D26" i="6" s="1"/>
  <c r="D26" i="1"/>
  <c r="D27" i="6" s="1"/>
  <c r="D27" i="1"/>
  <c r="D28" i="1"/>
  <c r="D29" i="1"/>
  <c r="D30" i="1"/>
  <c r="D31" i="1"/>
  <c r="D32" i="6" s="1"/>
  <c r="D32" i="1"/>
  <c r="D33" i="6" s="1"/>
  <c r="D33" i="1"/>
  <c r="D34" i="1"/>
  <c r="D35" i="1"/>
  <c r="D36" i="1"/>
  <c r="D37" i="1"/>
  <c r="D38" i="6" s="1"/>
  <c r="D38" i="1"/>
  <c r="D39" i="6" s="1"/>
  <c r="D39" i="1"/>
  <c r="D40" i="1"/>
  <c r="D41" i="1"/>
  <c r="D42" i="1"/>
  <c r="D43" i="1"/>
  <c r="D44" i="1"/>
  <c r="D45" i="1"/>
  <c r="D46" i="6" s="1"/>
  <c r="D46" i="1"/>
  <c r="D47" i="6" s="1"/>
  <c r="D47" i="1"/>
  <c r="D48" i="6" s="1"/>
  <c r="D48" i="1"/>
  <c r="D49" i="6" s="1"/>
  <c r="D49" i="1"/>
  <c r="D50" i="6" s="1"/>
  <c r="D50" i="1"/>
  <c r="D51" i="6" s="1"/>
  <c r="D51" i="1"/>
  <c r="D52" i="1"/>
  <c r="D53" i="1"/>
  <c r="D54" i="1"/>
  <c r="D55" i="6" s="1"/>
  <c r="D55" i="1"/>
  <c r="D56" i="6" s="1"/>
  <c r="D56" i="1"/>
  <c r="D57" i="6" s="1"/>
  <c r="D57" i="1"/>
  <c r="D58" i="1"/>
  <c r="D59" i="1"/>
  <c r="D60" i="1"/>
  <c r="D61" i="1"/>
  <c r="D62" i="1"/>
  <c r="D63" i="6" s="1"/>
  <c r="D63" i="1"/>
  <c r="D64" i="1"/>
  <c r="D65" i="1"/>
  <c r="D66" i="1"/>
  <c r="D67" i="1"/>
  <c r="D68" i="1"/>
  <c r="D69" i="1"/>
  <c r="D70" i="1"/>
  <c r="D71" i="6" s="1"/>
  <c r="D71" i="1"/>
  <c r="D72" i="6" s="1"/>
  <c r="D72" i="1"/>
  <c r="D73" i="6" s="1"/>
  <c r="D73" i="1"/>
  <c r="D74" i="6" s="1"/>
  <c r="D74" i="1"/>
  <c r="D75" i="1"/>
  <c r="D76" i="1"/>
  <c r="D77" i="1"/>
  <c r="D78" i="1"/>
  <c r="D79" i="1"/>
  <c r="D80" i="1"/>
  <c r="D81" i="1"/>
  <c r="D82" i="6" s="1"/>
  <c r="D82" i="1"/>
  <c r="D83" i="6" s="1"/>
  <c r="D83" i="1"/>
  <c r="D84" i="6" s="1"/>
  <c r="D84" i="1"/>
  <c r="D85" i="6" s="1"/>
  <c r="D85" i="1"/>
  <c r="D86" i="6" s="1"/>
  <c r="D86" i="1"/>
  <c r="D87" i="6" s="1"/>
  <c r="D87" i="1"/>
  <c r="D88" i="1"/>
  <c r="D89" i="1"/>
  <c r="D90" i="1"/>
  <c r="D91" i="1"/>
  <c r="D92" i="1"/>
  <c r="D93" i="6" s="1"/>
  <c r="D93" i="1"/>
  <c r="D2" i="1"/>
  <c r="D3" i="6" s="1"/>
  <c r="D10" i="6"/>
  <c r="D11" i="6"/>
  <c r="D34" i="6"/>
  <c r="D35" i="6"/>
  <c r="D36" i="6"/>
  <c r="D37" i="6"/>
  <c r="D58" i="6"/>
  <c r="D59" i="6"/>
  <c r="D60" i="6"/>
  <c r="D61" i="6"/>
  <c r="D62" i="6"/>
  <c r="D70" i="6"/>
  <c r="D94" i="6"/>
  <c r="E8" i="6"/>
  <c r="E9" i="6"/>
  <c r="E10" i="6"/>
  <c r="E11" i="6"/>
  <c r="E13" i="6"/>
  <c r="E21" i="6"/>
  <c r="E22" i="6"/>
  <c r="E23" i="6"/>
  <c r="E24" i="6"/>
  <c r="E25" i="6"/>
  <c r="E32" i="6"/>
  <c r="E33" i="6"/>
  <c r="E34" i="6"/>
  <c r="E35" i="6"/>
  <c r="E36" i="6"/>
  <c r="E37" i="6"/>
  <c r="E46" i="6"/>
  <c r="E58" i="6"/>
  <c r="E59" i="6"/>
  <c r="E60" i="6"/>
  <c r="E61" i="6"/>
  <c r="E62" i="6"/>
  <c r="E71" i="6"/>
  <c r="E72" i="6"/>
  <c r="E80" i="6"/>
  <c r="E81" i="6"/>
  <c r="E82" i="6"/>
  <c r="E84" i="6"/>
  <c r="E85" i="6"/>
  <c r="E86" i="6"/>
  <c r="E92" i="6"/>
  <c r="E93" i="6"/>
  <c r="E94" i="6"/>
  <c r="D12" i="3"/>
  <c r="D13" i="3"/>
  <c r="E14" i="6" s="1"/>
  <c r="D14" i="3"/>
  <c r="E15" i="6" s="1"/>
  <c r="D21" i="3"/>
  <c r="D22" i="3"/>
  <c r="D23" i="3"/>
  <c r="D24" i="3"/>
  <c r="D25" i="3"/>
  <c r="E26" i="6" s="1"/>
  <c r="D48" i="3"/>
  <c r="E49" i="6" s="1"/>
  <c r="D49" i="3"/>
  <c r="E50" i="6" s="1"/>
  <c r="D55" i="3"/>
  <c r="D57" i="3"/>
  <c r="D58" i="3"/>
  <c r="D59" i="3"/>
  <c r="D60" i="3"/>
  <c r="D61" i="3"/>
  <c r="D62" i="3"/>
  <c r="E63" i="6" s="1"/>
  <c r="D72" i="3"/>
  <c r="E73" i="6" s="1"/>
  <c r="D79" i="3"/>
  <c r="D80" i="3"/>
  <c r="D81" i="3"/>
  <c r="D83" i="3"/>
  <c r="D84" i="3"/>
  <c r="D85" i="3"/>
  <c r="D86" i="3"/>
  <c r="E87" i="6" s="1"/>
  <c r="D93" i="3"/>
  <c r="D20" i="3"/>
  <c r="D33" i="3"/>
  <c r="D34" i="3"/>
  <c r="D35" i="3"/>
  <c r="D36" i="3"/>
  <c r="D37" i="3"/>
  <c r="E38" i="6" s="1"/>
  <c r="D38" i="3"/>
  <c r="E39" i="6" s="1"/>
  <c r="D66" i="3"/>
  <c r="E67" i="6" s="1"/>
  <c r="D67" i="3"/>
  <c r="E68" i="6" s="1"/>
  <c r="D69" i="3"/>
  <c r="E70" i="6" s="1"/>
  <c r="D31" i="3"/>
  <c r="D32" i="3"/>
  <c r="D41" i="3"/>
  <c r="E42" i="6" s="1"/>
  <c r="D42" i="3"/>
  <c r="E43" i="6" s="1"/>
  <c r="D43" i="3"/>
  <c r="E44" i="6" s="1"/>
  <c r="D44" i="3"/>
  <c r="E45" i="6" s="1"/>
  <c r="D45" i="3"/>
  <c r="D91" i="3"/>
  <c r="D92" i="3"/>
  <c r="D4" i="6"/>
  <c r="D5" i="6"/>
  <c r="D6" i="6"/>
  <c r="D7" i="6"/>
  <c r="D8" i="6"/>
  <c r="D9" i="6"/>
  <c r="D16" i="6"/>
  <c r="D17" i="6"/>
  <c r="D18" i="6"/>
  <c r="D19" i="6"/>
  <c r="D20" i="6"/>
  <c r="D21" i="6"/>
  <c r="D28" i="6"/>
  <c r="D29" i="6"/>
  <c r="D30" i="6"/>
  <c r="D31" i="6"/>
  <c r="D40" i="6"/>
  <c r="D41" i="6"/>
  <c r="D42" i="6"/>
  <c r="D43" i="6"/>
  <c r="D44" i="6"/>
  <c r="D45" i="6"/>
  <c r="D52" i="6"/>
  <c r="D53" i="6"/>
  <c r="D54" i="6"/>
  <c r="D64" i="6"/>
  <c r="D65" i="6"/>
  <c r="D66" i="6"/>
  <c r="D67" i="6"/>
  <c r="D68" i="6"/>
  <c r="D69" i="6"/>
  <c r="D75" i="6"/>
  <c r="D76" i="6"/>
  <c r="D77" i="6"/>
  <c r="D78" i="6"/>
  <c r="D79" i="6"/>
  <c r="D80" i="6"/>
  <c r="D81" i="6"/>
  <c r="D88" i="6"/>
  <c r="D89" i="6"/>
  <c r="D90" i="6"/>
  <c r="D91" i="6"/>
  <c r="D92" i="6"/>
  <c r="D7" i="3"/>
  <c r="D8" i="3"/>
  <c r="D9" i="3"/>
  <c r="D10" i="3"/>
  <c r="D15" i="3"/>
  <c r="E16" i="6" s="1"/>
  <c r="D16" i="3"/>
  <c r="E17" i="6" s="1"/>
  <c r="D76" i="3"/>
  <c r="E77" i="6" s="1"/>
  <c r="D87" i="3"/>
  <c r="E88" i="6" s="1"/>
  <c r="G88" i="6" s="1"/>
  <c r="J88" i="6" s="1"/>
  <c r="D88" i="3"/>
  <c r="E89" i="6" s="1"/>
  <c r="G89" i="6" s="1"/>
  <c r="I89" i="6" s="1"/>
  <c r="I73" i="1"/>
  <c r="I54" i="1"/>
  <c r="F54" i="1"/>
  <c r="J4" i="6" l="1"/>
  <c r="J66" i="6"/>
  <c r="J48" i="6"/>
  <c r="J90" i="6"/>
  <c r="J5" i="6"/>
  <c r="J89" i="6"/>
  <c r="J28" i="6"/>
  <c r="I90" i="6"/>
  <c r="G62" i="6"/>
  <c r="J62" i="6" s="1"/>
  <c r="G61" i="6"/>
  <c r="J61" i="6" s="1"/>
  <c r="G36" i="6"/>
  <c r="I36" i="6" s="1"/>
  <c r="G51" i="6"/>
  <c r="G74" i="6"/>
  <c r="I74" i="6" s="1"/>
  <c r="G50" i="6"/>
  <c r="J50" i="6" s="1"/>
  <c r="G26" i="6"/>
  <c r="I26" i="6" s="1"/>
  <c r="G85" i="6"/>
  <c r="I85" i="6" s="1"/>
  <c r="G73" i="6"/>
  <c r="I73" i="6" s="1"/>
  <c r="G49" i="6"/>
  <c r="J49" i="6" s="1"/>
  <c r="G12" i="6"/>
  <c r="I12" i="6" s="1"/>
  <c r="G87" i="6"/>
  <c r="J87" i="6" s="1"/>
  <c r="G35" i="6"/>
  <c r="J35" i="6" s="1"/>
  <c r="G11" i="6"/>
  <c r="I11" i="6" s="1"/>
  <c r="G34" i="6"/>
  <c r="J34" i="6" s="1"/>
  <c r="G9" i="6"/>
  <c r="I9" i="6" s="1"/>
  <c r="G31" i="6"/>
  <c r="I31" i="6" s="1"/>
  <c r="G25" i="6"/>
  <c r="I25" i="6" s="1"/>
  <c r="G24" i="6"/>
  <c r="I24" i="6" s="1"/>
  <c r="G23" i="6"/>
  <c r="I23" i="6" s="1"/>
  <c r="G22" i="6"/>
  <c r="I22" i="6" s="1"/>
  <c r="G10" i="6"/>
  <c r="I10" i="6" s="1"/>
  <c r="G43" i="6"/>
  <c r="I43" i="6" s="1"/>
  <c r="G67" i="6"/>
  <c r="I67" i="6" s="1"/>
  <c r="G30" i="6"/>
  <c r="I30" i="6" s="1"/>
  <c r="G6" i="6"/>
  <c r="I6" i="6" s="1"/>
  <c r="G19" i="6"/>
  <c r="I19" i="6" s="1"/>
  <c r="G18" i="6"/>
  <c r="I18" i="6" s="1"/>
  <c r="G17" i="6"/>
  <c r="I17" i="6" s="1"/>
  <c r="G15" i="6"/>
  <c r="G83" i="6"/>
  <c r="I83" i="6" s="1"/>
  <c r="G71" i="6"/>
  <c r="I71" i="6" s="1"/>
  <c r="G59" i="6"/>
  <c r="I59" i="6" s="1"/>
  <c r="G47" i="6"/>
  <c r="I47" i="6" s="1"/>
  <c r="G78" i="6"/>
  <c r="I78" i="6" s="1"/>
  <c r="G40" i="6"/>
  <c r="J40" i="6" s="1"/>
  <c r="G72" i="6"/>
  <c r="I72" i="6" s="1"/>
  <c r="G75" i="6"/>
  <c r="G63" i="6"/>
  <c r="G38" i="6"/>
  <c r="I38" i="6" s="1"/>
  <c r="G14" i="6"/>
  <c r="I14" i="6" s="1"/>
  <c r="G46" i="6"/>
  <c r="I46" i="6" s="1"/>
  <c r="G42" i="6"/>
  <c r="I42" i="6" s="1"/>
  <c r="G41" i="6"/>
  <c r="I41" i="6" s="1"/>
  <c r="G76" i="6"/>
  <c r="G64" i="6"/>
  <c r="G86" i="6"/>
  <c r="I86" i="6" s="1"/>
  <c r="G37" i="6"/>
  <c r="I37" i="6" s="1"/>
  <c r="G13" i="6"/>
  <c r="I13" i="6" s="1"/>
  <c r="G80" i="6"/>
  <c r="I80" i="6" s="1"/>
  <c r="G84" i="6"/>
  <c r="I84" i="6" s="1"/>
  <c r="G60" i="6"/>
  <c r="I60" i="6" s="1"/>
  <c r="G53" i="6"/>
  <c r="I53" i="6" s="1"/>
  <c r="G55" i="6"/>
  <c r="I55" i="6" s="1"/>
  <c r="G54" i="6"/>
  <c r="I54" i="6" s="1"/>
  <c r="G77" i="6"/>
  <c r="G16" i="6"/>
  <c r="I16" i="6" s="1"/>
  <c r="G94" i="6"/>
  <c r="I94" i="6" s="1"/>
  <c r="G82" i="6"/>
  <c r="I82" i="6" s="1"/>
  <c r="G70" i="6"/>
  <c r="I70" i="6" s="1"/>
  <c r="G58" i="6"/>
  <c r="I58" i="6" s="1"/>
  <c r="G45" i="6"/>
  <c r="I45" i="6" s="1"/>
  <c r="G33" i="6"/>
  <c r="I33" i="6" s="1"/>
  <c r="G21" i="6"/>
  <c r="I21" i="6" s="1"/>
  <c r="G39" i="6"/>
  <c r="G93" i="6"/>
  <c r="I93" i="6" s="1"/>
  <c r="G81" i="6"/>
  <c r="I81" i="6" s="1"/>
  <c r="G69" i="6"/>
  <c r="I69" i="6" s="1"/>
  <c r="G32" i="6"/>
  <c r="I32" i="6" s="1"/>
  <c r="G20" i="6"/>
  <c r="I20" i="6" s="1"/>
  <c r="I66" i="6"/>
  <c r="G57" i="6"/>
  <c r="I57" i="6" s="1"/>
  <c r="G44" i="6"/>
  <c r="I44" i="6" s="1"/>
  <c r="G8" i="6"/>
  <c r="I8" i="6" s="1"/>
  <c r="I65" i="6"/>
  <c r="G92" i="6"/>
  <c r="I92" i="6" s="1"/>
  <c r="G56" i="6"/>
  <c r="I56" i="6" s="1"/>
  <c r="G7" i="6"/>
  <c r="I7" i="6" s="1"/>
  <c r="G52" i="6"/>
  <c r="G91" i="6"/>
  <c r="I91" i="6" s="1"/>
  <c r="G79" i="6"/>
  <c r="I79" i="6" s="1"/>
  <c r="I34" i="6"/>
  <c r="G29" i="6"/>
  <c r="I29" i="6" s="1"/>
  <c r="G68" i="6"/>
  <c r="I68" i="6" s="1"/>
  <c r="I88" i="6"/>
  <c r="I28" i="6"/>
  <c r="I4" i="6"/>
  <c r="I27" i="6"/>
  <c r="I62" i="6"/>
  <c r="I50" i="6"/>
  <c r="I61" i="6"/>
  <c r="I49" i="6"/>
  <c r="I48" i="6"/>
  <c r="I3" i="6"/>
  <c r="J37" i="6" l="1"/>
  <c r="J54" i="6"/>
  <c r="J6" i="6"/>
  <c r="J79" i="6"/>
  <c r="J67" i="6"/>
  <c r="J11" i="6"/>
  <c r="J18" i="6"/>
  <c r="J83" i="6"/>
  <c r="J31" i="6"/>
  <c r="J71" i="6"/>
  <c r="J8" i="6"/>
  <c r="J36" i="6"/>
  <c r="J7" i="6"/>
  <c r="J13" i="6"/>
  <c r="I51" i="6"/>
  <c r="J51" i="6"/>
  <c r="J16" i="6"/>
  <c r="J60" i="6"/>
  <c r="J70" i="6"/>
  <c r="J72" i="6"/>
  <c r="J80" i="6"/>
  <c r="J29" i="6"/>
  <c r="J84" i="6"/>
  <c r="J44" i="6"/>
  <c r="J86" i="6"/>
  <c r="J9" i="6"/>
  <c r="J58" i="6"/>
  <c r="J21" i="6"/>
  <c r="I87" i="6"/>
  <c r="I35" i="6"/>
  <c r="J93" i="6"/>
  <c r="J42" i="6"/>
  <c r="J17" i="6"/>
  <c r="J85" i="6"/>
  <c r="J57" i="6"/>
  <c r="J94" i="6"/>
  <c r="J53" i="6"/>
  <c r="J74" i="6"/>
  <c r="J78" i="6"/>
  <c r="J91" i="6"/>
  <c r="I39" i="6"/>
  <c r="J39" i="6"/>
  <c r="J55" i="6"/>
  <c r="J30" i="6"/>
  <c r="I40" i="6"/>
  <c r="I52" i="6"/>
  <c r="J52" i="6"/>
  <c r="I77" i="6"/>
  <c r="J77" i="6"/>
  <c r="J68" i="6"/>
  <c r="J43" i="6"/>
  <c r="J19" i="6"/>
  <c r="J22" i="6"/>
  <c r="J20" i="6"/>
  <c r="J92" i="6"/>
  <c r="J32" i="6"/>
  <c r="J25" i="6"/>
  <c r="J14" i="6"/>
  <c r="J82" i="6"/>
  <c r="I63" i="6"/>
  <c r="J63" i="6"/>
  <c r="J59" i="6"/>
  <c r="J81" i="6"/>
  <c r="J56" i="6"/>
  <c r="J45" i="6"/>
  <c r="J38" i="6"/>
  <c r="J10" i="6"/>
  <c r="J23" i="6"/>
  <c r="I76" i="6"/>
  <c r="J76" i="6"/>
  <c r="I64" i="6"/>
  <c r="J64" i="6"/>
  <c r="I75" i="6"/>
  <c r="J75" i="6"/>
  <c r="I15" i="6"/>
  <c r="J15" i="6"/>
  <c r="J41" i="6"/>
  <c r="J12" i="6"/>
  <c r="J69" i="6"/>
  <c r="L3" i="6"/>
  <c r="J46" i="6"/>
  <c r="J24" i="6"/>
  <c r="J26" i="6"/>
  <c r="J47" i="6"/>
  <c r="J73" i="6"/>
</calcChain>
</file>

<file path=xl/sharedStrings.xml><?xml version="1.0" encoding="utf-8"?>
<sst xmlns="http://schemas.openxmlformats.org/spreadsheetml/2006/main" count="765" uniqueCount="200">
  <si>
    <t>STT</t>
  </si>
  <si>
    <t>Ma sinh vien</t>
  </si>
  <si>
    <t>Ho và ten</t>
  </si>
  <si>
    <t>B1909925</t>
  </si>
  <si>
    <t>Huynh Huu Khang</t>
  </si>
  <si>
    <t>B2204536</t>
  </si>
  <si>
    <t>Nguyen Tram Anh</t>
  </si>
  <si>
    <t>B2306513</t>
  </si>
  <si>
    <t>Ngo Hung Anh</t>
  </si>
  <si>
    <t>B2306514</t>
  </si>
  <si>
    <t>Do Hoang Bao</t>
  </si>
  <si>
    <t>B2306515</t>
  </si>
  <si>
    <t>Tran Ngoc Bao</t>
  </si>
  <si>
    <t>B2306516</t>
  </si>
  <si>
    <t>Tran Quang Bao</t>
  </si>
  <si>
    <t>B2306517</t>
  </si>
  <si>
    <t>Ngo An Binh</t>
  </si>
  <si>
    <t>B2306518</t>
  </si>
  <si>
    <t>Nguyen Thanh Binh</t>
  </si>
  <si>
    <t>B2306519</t>
  </si>
  <si>
    <t>Truong Vu Binh</t>
  </si>
  <si>
    <t>B2306521</t>
  </si>
  <si>
    <t>Nguyen Chi Cuong</t>
  </si>
  <si>
    <t>B2306522</t>
  </si>
  <si>
    <t>Doan Cong Danh</t>
  </si>
  <si>
    <t>B2306523</t>
  </si>
  <si>
    <t>Doan Trung Dan</t>
  </si>
  <si>
    <t>B2306524</t>
  </si>
  <si>
    <t>Mai Vu Duy</t>
  </si>
  <si>
    <t>B2306525</t>
  </si>
  <si>
    <t>Ly Phuoc Dat</t>
  </si>
  <si>
    <t>B2306526</t>
  </si>
  <si>
    <t>Tran Do Quoc Dat</t>
  </si>
  <si>
    <t>B2306527</t>
  </si>
  <si>
    <t>Ho Quang Truong Giang</t>
  </si>
  <si>
    <t>B2306528</t>
  </si>
  <si>
    <t>Truong Chi Hao</t>
  </si>
  <si>
    <t>B2306529</t>
  </si>
  <si>
    <t>Vo Huynh Thanh Ha</t>
  </si>
  <si>
    <t>B2306530</t>
  </si>
  <si>
    <t>Pham Phan Dung Hanh</t>
  </si>
  <si>
    <t>B2306531</t>
  </si>
  <si>
    <t>Nguyen Thi Ngoc Han</t>
  </si>
  <si>
    <t>B2306533</t>
  </si>
  <si>
    <t>Nguyen Thai Hoa</t>
  </si>
  <si>
    <t>B2306534</t>
  </si>
  <si>
    <t>Ho Gia Huy</t>
  </si>
  <si>
    <t>B2306535</t>
  </si>
  <si>
    <t>Nguyen Quang Huy</t>
  </si>
  <si>
    <t>B2306536</t>
  </si>
  <si>
    <t>Tram Gia Huy</t>
  </si>
  <si>
    <t>B2306537</t>
  </si>
  <si>
    <t>Ly Pho Huynh</t>
  </si>
  <si>
    <t>B2306538</t>
  </si>
  <si>
    <t>Nguyen Thi Nhu Huynh</t>
  </si>
  <si>
    <t>B2306539</t>
  </si>
  <si>
    <t>Nguyen Phi Hung</t>
  </si>
  <si>
    <t>B2306540</t>
  </si>
  <si>
    <t>Nguyen Hoang Khang</t>
  </si>
  <si>
    <t>B2306541</t>
  </si>
  <si>
    <t>Nguyen Truong Vi Khang</t>
  </si>
  <si>
    <t>B2306542</t>
  </si>
  <si>
    <t>Phan Thanh Khang</t>
  </si>
  <si>
    <t>B2306543</t>
  </si>
  <si>
    <t>Tieu Tuan Khang</t>
  </si>
  <si>
    <t>B2306544</t>
  </si>
  <si>
    <t>Vo An Khang</t>
  </si>
  <si>
    <t>B2306545</t>
  </si>
  <si>
    <t>Vo Minh Khang</t>
  </si>
  <si>
    <t>B2306546</t>
  </si>
  <si>
    <t>Tran Tuan Khanh</t>
  </si>
  <si>
    <t>B2306547</t>
  </si>
  <si>
    <t>Vo Thai Hoang Khanh</t>
  </si>
  <si>
    <t>B2306548</t>
  </si>
  <si>
    <t>Tran Thai Khai</t>
  </si>
  <si>
    <t>B2306549</t>
  </si>
  <si>
    <t>Phung Dang Khoa</t>
  </si>
  <si>
    <t>B2306550</t>
  </si>
  <si>
    <t>Tran Pham Dang Khoa</t>
  </si>
  <si>
    <t>B2306551</t>
  </si>
  <si>
    <t>Nguyen Dang Khoi</t>
  </si>
  <si>
    <t>B2306552</t>
  </si>
  <si>
    <t>Tran Trung Kien</t>
  </si>
  <si>
    <t>B2306553</t>
  </si>
  <si>
    <t>Dang Quang Ky</t>
  </si>
  <si>
    <t>B2306554</t>
  </si>
  <si>
    <t>Tran Thi Yen Linh</t>
  </si>
  <si>
    <t>B2306555</t>
  </si>
  <si>
    <t>Chung Tan Loi</t>
  </si>
  <si>
    <t>B2306556</t>
  </si>
  <si>
    <t>Nguyen Huy Loi</t>
  </si>
  <si>
    <t>B2306557</t>
  </si>
  <si>
    <t>Le Huu Luong</t>
  </si>
  <si>
    <t>B2306558</t>
  </si>
  <si>
    <t>Cao Khanh Minh</t>
  </si>
  <si>
    <t>B2306559</t>
  </si>
  <si>
    <t>Nguyen Thi Nhu Mi</t>
  </si>
  <si>
    <t>B2306560</t>
  </si>
  <si>
    <t>Nguyen Thi Diem My</t>
  </si>
  <si>
    <t>B2306561</t>
  </si>
  <si>
    <t>Huynh Chi Nghia</t>
  </si>
  <si>
    <t>B2306562</t>
  </si>
  <si>
    <t>Huynh Trung Nghia</t>
  </si>
  <si>
    <t>B2306563</t>
  </si>
  <si>
    <t>Nguyen Le Hieu Nghia</t>
  </si>
  <si>
    <t>B2306564</t>
  </si>
  <si>
    <t>Le Hoang Nguyen</t>
  </si>
  <si>
    <t>B2306565</t>
  </si>
  <si>
    <t>La Tuong Nhan</t>
  </si>
  <si>
    <t>B2306566</t>
  </si>
  <si>
    <t>Pham Minh Nhan</t>
  </si>
  <si>
    <t>B2306567</t>
  </si>
  <si>
    <t>Ly Thi Tu Nhu</t>
  </si>
  <si>
    <t>B2306568</t>
  </si>
  <si>
    <t>Nguyen Tan Phat</t>
  </si>
  <si>
    <t>B2306569</t>
  </si>
  <si>
    <t>Nguyen Tien Phat</t>
  </si>
  <si>
    <t>B2306570</t>
  </si>
  <si>
    <t>Pham Vo Phi Phi</t>
  </si>
  <si>
    <t>B2306572</t>
  </si>
  <si>
    <t>Phan Ngoc Phu</t>
  </si>
  <si>
    <t>B2306573</t>
  </si>
  <si>
    <t>Tran Minh Phu</t>
  </si>
  <si>
    <t>B2306574</t>
  </si>
  <si>
    <t>Le Trong Phuc</t>
  </si>
  <si>
    <t>B2306575</t>
  </si>
  <si>
    <t>Tran Nhat Quan</t>
  </si>
  <si>
    <t>B2306577</t>
  </si>
  <si>
    <t>Tran Kim Quoc</t>
  </si>
  <si>
    <t>B2306578</t>
  </si>
  <si>
    <t>Duong Quoc Thanh</t>
  </si>
  <si>
    <t>B2306579</t>
  </si>
  <si>
    <t>Nguyen Minh Thai</t>
  </si>
  <si>
    <t>B2306580</t>
  </si>
  <si>
    <t>Nguyen Thi Thau</t>
  </si>
  <si>
    <t>B2306581</t>
  </si>
  <si>
    <t>Tieu Phu Thang</t>
  </si>
  <si>
    <t>B2306582</t>
  </si>
  <si>
    <t>Ly Huynh Thang</t>
  </si>
  <si>
    <t>B2306583</t>
  </si>
  <si>
    <t>Nguyen Minh Thien</t>
  </si>
  <si>
    <t>B2306584</t>
  </si>
  <si>
    <t>B2306585</t>
  </si>
  <si>
    <t>Nguyen Quoc Thinh</t>
  </si>
  <si>
    <t>B2306586</t>
  </si>
  <si>
    <t>Vo Thanh Dat Thinh</t>
  </si>
  <si>
    <t>B2306587</t>
  </si>
  <si>
    <t>Vo Hoai Thong</t>
  </si>
  <si>
    <t>B2306588</t>
  </si>
  <si>
    <t>Ngo Duong Nhut Thuong</t>
  </si>
  <si>
    <t>B2306590</t>
  </si>
  <si>
    <t>Nguyen Thanh Toan</t>
  </si>
  <si>
    <t>B2306591</t>
  </si>
  <si>
    <t>Tran Thien Toan</t>
  </si>
  <si>
    <t>B2306592</t>
  </si>
  <si>
    <t>Truong Buu Toan</t>
  </si>
  <si>
    <t>B2306593</t>
  </si>
  <si>
    <t>Vu Minh Toan</t>
  </si>
  <si>
    <t>B2306594</t>
  </si>
  <si>
    <t>Duong Thi Thuy Tram</t>
  </si>
  <si>
    <t>B2306595</t>
  </si>
  <si>
    <t>Pham Huyen Tran</t>
  </si>
  <si>
    <t>B2306596</t>
  </si>
  <si>
    <t>Pham Thi Ngoc Tran</t>
  </si>
  <si>
    <t>B2306597</t>
  </si>
  <si>
    <t>Chu Do Minh Tuan</t>
  </si>
  <si>
    <t>B2306598</t>
  </si>
  <si>
    <t>Nguyen Minh Tuan</t>
  </si>
  <si>
    <t>B2306599</t>
  </si>
  <si>
    <t>Huynh Quang Vi</t>
  </si>
  <si>
    <t>B2306600</t>
  </si>
  <si>
    <t>Trinh Minh Vi</t>
  </si>
  <si>
    <t>B2306601</t>
  </si>
  <si>
    <t>Dinh Tai Vu</t>
  </si>
  <si>
    <t>B2306602</t>
  </si>
  <si>
    <t>Nguyen Tuan Vu</t>
  </si>
  <si>
    <t>B2306603</t>
  </si>
  <si>
    <t>Tran Anh Vu</t>
  </si>
  <si>
    <t>B2306604</t>
  </si>
  <si>
    <t>Nguyen Thi Vy</t>
  </si>
  <si>
    <t>B2306605</t>
  </si>
  <si>
    <t>Le Van Xuyen</t>
  </si>
  <si>
    <t>B2306606</t>
  </si>
  <si>
    <t>Pham Tuyet Yen</t>
  </si>
  <si>
    <t>B2306608</t>
  </si>
  <si>
    <t>Nguyen Thi Nhu Y</t>
  </si>
  <si>
    <t xml:space="preserve">    </t>
  </si>
  <si>
    <t>Số câu đúng</t>
  </si>
  <si>
    <t>Điểm</t>
  </si>
  <si>
    <t xml:space="preserve"> </t>
  </si>
  <si>
    <t>Số buổi Vắng</t>
  </si>
  <si>
    <t>MSSV</t>
  </si>
  <si>
    <t>Điểm BT</t>
  </si>
  <si>
    <t>Kiểm tra</t>
  </si>
  <si>
    <t>Điểm HP</t>
  </si>
  <si>
    <t>Dự học</t>
  </si>
  <si>
    <t>Điểm quá trình</t>
  </si>
  <si>
    <t>Thi cuối kỳ</t>
  </si>
  <si>
    <t>Tổng điểm quá trình</t>
  </si>
  <si>
    <t>Điểm Tổng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</si>
</sst>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5" x14ac:knownFonts="1"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6"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" fontId="3" fillId="0" borderId="0" xfId="0" applyNumberFormat="1" applyFont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" fontId="3" fillId="0" borderId="2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164" fontId="0" fillId="0" borderId="0" xfId="1" applyFont="1" applyFill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165" fontId="0" fillId="0" borderId="4" xfId="0" applyNumberFormat="1" applyBorder="1" applyAlignment="1">
      <alignment horizontal="right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3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2" fontId="0" fillId="0" borderId="7" xfId="0" applyNumberFormat="1" applyBorder="1" applyAlignment="1">
      <alignment horizontal="center" vertical="center" wrapText="1"/>
    </xf>
    <xf numFmtId="165" fontId="0" fillId="0" borderId="8" xfId="0" applyNumberFormat="1" applyBorder="1" applyAlignment="1">
      <alignment horizontal="right" vertical="center" wrapText="1"/>
    </xf>
    <xf numFmtId="164" fontId="0" fillId="0" borderId="2" xfId="1" applyFont="1" applyFill="1" applyBorder="1" applyAlignment="1">
      <alignment vertical="center" wrapText="1"/>
    </xf>
    <xf numFmtId="164" fontId="0" fillId="6" borderId="2" xfId="1" applyFont="1" applyFill="1" applyBorder="1" applyAlignment="1">
      <alignment vertical="center" wrapText="1"/>
    </xf>
    <xf numFmtId="165" fontId="0" fillId="6" borderId="4" xfId="0" applyNumberForma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64" fontId="0" fillId="0" borderId="7" xfId="1" applyFont="1" applyBorder="1" applyAlignment="1">
      <alignment vertical="center" wrapText="1"/>
    </xf>
    <xf numFmtId="164" fontId="0" fillId="0" borderId="7" xfId="0" applyNumberFormat="1" applyBorder="1" applyAlignment="1">
      <alignment vertical="center" wrapText="1"/>
    </xf>
    <xf numFmtId="164" fontId="0" fillId="7" borderId="7" xfId="0" applyNumberFormat="1" applyFill="1" applyBorder="1" applyAlignment="1">
      <alignment vertical="center" wrapText="1"/>
    </xf>
    <xf numFmtId="4" fontId="0" fillId="0" borderId="0" xfId="1" applyNumberFormat="1" applyFont="1" applyAlignment="1">
      <alignment vertical="center" wrapText="1"/>
    </xf>
    <xf numFmtId="16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F970-C098-4D4D-854E-6B87C5DDC821}">
  <dimension ref="A1:L94"/>
  <sheetViews>
    <sheetView tabSelected="1" topLeftCell="A84" zoomScale="139" workbookViewId="0">
      <selection activeCell="J94" sqref="J94"/>
    </sheetView>
  </sheetViews>
  <sheetFormatPr defaultColWidth="8" defaultRowHeight="12.75" x14ac:dyDescent="0.2"/>
  <cols>
    <col min="1" max="1" width="4.5" bestFit="1" customWidth="1"/>
    <col min="2" max="2" width="9" bestFit="1" customWidth="1"/>
    <col min="3" max="3" width="21" bestFit="1" customWidth="1"/>
    <col min="4" max="4" width="8.33203125" customWidth="1"/>
    <col min="5" max="5" width="9.5" customWidth="1"/>
    <col min="6" max="6" width="6.5" customWidth="1"/>
    <col min="7" max="7" width="11" customWidth="1"/>
    <col min="8" max="8" width="6.5" bestFit="1" customWidth="1"/>
    <col min="9" max="9" width="8.5" style="27" hidden="1" customWidth="1"/>
  </cols>
  <sheetData>
    <row r="1" spans="1:12" x14ac:dyDescent="0.2">
      <c r="A1" s="45" t="s">
        <v>0</v>
      </c>
      <c r="B1" s="44" t="s">
        <v>191</v>
      </c>
      <c r="C1" s="45" t="s">
        <v>2</v>
      </c>
      <c r="D1" s="43" t="s">
        <v>196</v>
      </c>
      <c r="E1" s="43"/>
      <c r="F1" s="43"/>
      <c r="G1" s="43"/>
      <c r="H1" s="43" t="s">
        <v>197</v>
      </c>
      <c r="I1" s="20"/>
      <c r="J1" s="44" t="s">
        <v>199</v>
      </c>
    </row>
    <row r="2" spans="1:12" ht="25.5" x14ac:dyDescent="0.2">
      <c r="A2" s="45"/>
      <c r="B2" s="44"/>
      <c r="C2" s="45"/>
      <c r="D2" s="7" t="s">
        <v>192</v>
      </c>
      <c r="E2" s="28" t="s">
        <v>195</v>
      </c>
      <c r="F2" s="8" t="s">
        <v>193</v>
      </c>
      <c r="G2" s="8" t="s">
        <v>198</v>
      </c>
      <c r="H2" s="43"/>
      <c r="I2" s="28" t="s">
        <v>194</v>
      </c>
      <c r="J2" s="44"/>
    </row>
    <row r="3" spans="1:12" ht="25.5" x14ac:dyDescent="0.2">
      <c r="A3" s="30">
        <v>1</v>
      </c>
      <c r="B3" s="31" t="s">
        <v>3</v>
      </c>
      <c r="C3" s="32" t="s">
        <v>4</v>
      </c>
      <c r="D3" s="33">
        <f>'Điểm bài tập'!D2</f>
        <v>0</v>
      </c>
      <c r="E3" s="34">
        <v>0</v>
      </c>
      <c r="F3" s="35">
        <v>1</v>
      </c>
      <c r="G3" s="35">
        <f>IF(E3="Cấm thi","Cấm thi",MIN(SUM(D3:F3),4))</f>
        <v>1</v>
      </c>
      <c r="H3" s="39">
        <f>'Điểm Ktra và điểm thi'!G2</f>
        <v>3</v>
      </c>
      <c r="I3" s="33">
        <f t="shared" ref="I3:I34" si="0">IF(SUM(E3:H3)&gt;10,10,SUM(E3:H3))</f>
        <v>5</v>
      </c>
      <c r="J3" s="40">
        <f>ROUND(G3+H3,1)</f>
        <v>4</v>
      </c>
      <c r="L3">
        <f>COUNTIF(J3:J94, "&gt;=9")</f>
        <v>30</v>
      </c>
    </row>
    <row r="4" spans="1:12" ht="25.5" x14ac:dyDescent="0.2">
      <c r="A4" s="2">
        <v>2</v>
      </c>
      <c r="B4" s="3" t="s">
        <v>5</v>
      </c>
      <c r="C4" s="6" t="s">
        <v>6</v>
      </c>
      <c r="D4" s="26">
        <f>'Điểm bài tập'!D3</f>
        <v>0</v>
      </c>
      <c r="E4" s="25">
        <f>'Điểm danh'!D3</f>
        <v>0.5</v>
      </c>
      <c r="F4" s="35">
        <v>2</v>
      </c>
      <c r="G4" s="35">
        <f t="shared" ref="G4:G67" si="1">IF(E4="Cấm thi","Cấm thi",MIN(SUM(D4:F4),4))</f>
        <v>2.5</v>
      </c>
      <c r="H4" s="39">
        <f>'Điểm Ktra và điểm thi'!G3</f>
        <v>5.25</v>
      </c>
      <c r="I4" s="26">
        <f t="shared" si="0"/>
        <v>10</v>
      </c>
      <c r="J4" s="40">
        <f t="shared" ref="J4:J67" si="2">ROUND(G4+H4,1)</f>
        <v>7.8</v>
      </c>
    </row>
    <row r="5" spans="1:12" ht="25.5" x14ac:dyDescent="0.2">
      <c r="A5" s="2">
        <v>3</v>
      </c>
      <c r="B5" s="3" t="s">
        <v>7</v>
      </c>
      <c r="C5" s="6" t="s">
        <v>8</v>
      </c>
      <c r="D5" s="26">
        <f>'Điểm bài tập'!D4</f>
        <v>1</v>
      </c>
      <c r="E5" s="25">
        <f>'Điểm danh'!D4</f>
        <v>0.5</v>
      </c>
      <c r="F5" s="35">
        <v>2.25</v>
      </c>
      <c r="G5" s="35">
        <f t="shared" si="1"/>
        <v>3.75</v>
      </c>
      <c r="H5" s="39">
        <f>'Điểm Ktra và điểm thi'!G4</f>
        <v>4.75</v>
      </c>
      <c r="I5" s="26">
        <f t="shared" si="0"/>
        <v>10</v>
      </c>
      <c r="J5" s="40">
        <f t="shared" si="2"/>
        <v>8.5</v>
      </c>
    </row>
    <row r="6" spans="1:12" ht="25.5" x14ac:dyDescent="0.2">
      <c r="A6" s="2">
        <v>4</v>
      </c>
      <c r="B6" s="3" t="s">
        <v>9</v>
      </c>
      <c r="C6" s="6" t="s">
        <v>10</v>
      </c>
      <c r="D6" s="26">
        <f>'Điểm bài tập'!D5</f>
        <v>0</v>
      </c>
      <c r="E6" s="25">
        <f>'Điểm danh'!D5</f>
        <v>0.4</v>
      </c>
      <c r="F6" s="35">
        <v>2.5</v>
      </c>
      <c r="G6" s="35">
        <f t="shared" si="1"/>
        <v>2.9</v>
      </c>
      <c r="H6" s="39">
        <f>'Điểm Ktra và điểm thi'!G5</f>
        <v>4.75</v>
      </c>
      <c r="I6" s="26">
        <f t="shared" si="0"/>
        <v>10</v>
      </c>
      <c r="J6" s="40">
        <f t="shared" si="2"/>
        <v>7.7</v>
      </c>
    </row>
    <row r="7" spans="1:12" ht="25.5" x14ac:dyDescent="0.2">
      <c r="A7" s="2">
        <v>5</v>
      </c>
      <c r="B7" s="3" t="s">
        <v>11</v>
      </c>
      <c r="C7" s="6" t="s">
        <v>12</v>
      </c>
      <c r="D7" s="26">
        <f>'Điểm bài tập'!D6</f>
        <v>0</v>
      </c>
      <c r="E7" s="25">
        <f>'Điểm danh'!D6</f>
        <v>0.5</v>
      </c>
      <c r="F7" s="35">
        <v>2.75</v>
      </c>
      <c r="G7" s="35">
        <f t="shared" si="1"/>
        <v>3.25</v>
      </c>
      <c r="H7" s="39">
        <f>'Điểm Ktra và điểm thi'!G6</f>
        <v>5.5</v>
      </c>
      <c r="I7" s="26">
        <f t="shared" si="0"/>
        <v>10</v>
      </c>
      <c r="J7" s="40">
        <f t="shared" si="2"/>
        <v>8.8000000000000007</v>
      </c>
    </row>
    <row r="8" spans="1:12" ht="25.5" x14ac:dyDescent="0.2">
      <c r="A8" s="2">
        <v>6</v>
      </c>
      <c r="B8" s="3" t="s">
        <v>13</v>
      </c>
      <c r="C8" s="6" t="s">
        <v>14</v>
      </c>
      <c r="D8" s="26">
        <f>'Điểm bài tập'!D7</f>
        <v>1</v>
      </c>
      <c r="E8" s="25">
        <f>'Điểm danh'!D7</f>
        <v>0.5</v>
      </c>
      <c r="F8" s="35">
        <v>2.5</v>
      </c>
      <c r="G8" s="35">
        <f t="shared" si="1"/>
        <v>4</v>
      </c>
      <c r="H8" s="39">
        <f>'Điểm Ktra và điểm thi'!G7</f>
        <v>5.5</v>
      </c>
      <c r="I8" s="26">
        <f t="shared" si="0"/>
        <v>10</v>
      </c>
      <c r="J8" s="40">
        <f t="shared" si="2"/>
        <v>9.5</v>
      </c>
    </row>
    <row r="9" spans="1:12" ht="25.5" x14ac:dyDescent="0.2">
      <c r="A9" s="2">
        <v>7</v>
      </c>
      <c r="B9" s="3" t="s">
        <v>15</v>
      </c>
      <c r="C9" s="6" t="s">
        <v>16</v>
      </c>
      <c r="D9" s="26">
        <f>'Điểm bài tập'!D8</f>
        <v>0.5</v>
      </c>
      <c r="E9" s="25">
        <f>'Điểm danh'!D8</f>
        <v>0.5</v>
      </c>
      <c r="F9" s="35">
        <v>2</v>
      </c>
      <c r="G9" s="35">
        <f t="shared" si="1"/>
        <v>3</v>
      </c>
      <c r="H9" s="39">
        <f>'Điểm Ktra và điểm thi'!G8</f>
        <v>5.5</v>
      </c>
      <c r="I9" s="26">
        <f t="shared" si="0"/>
        <v>10</v>
      </c>
      <c r="J9" s="40">
        <f t="shared" si="2"/>
        <v>8.5</v>
      </c>
    </row>
    <row r="10" spans="1:12" ht="25.5" x14ac:dyDescent="0.2">
      <c r="A10" s="2">
        <v>8</v>
      </c>
      <c r="B10" s="3" t="s">
        <v>17</v>
      </c>
      <c r="C10" s="6" t="s">
        <v>18</v>
      </c>
      <c r="D10" s="26">
        <f>'Điểm bài tập'!D9</f>
        <v>1</v>
      </c>
      <c r="E10" s="25">
        <f>'Điểm danh'!D9</f>
        <v>0.5</v>
      </c>
      <c r="F10" s="35">
        <v>2.5</v>
      </c>
      <c r="G10" s="35">
        <f t="shared" si="1"/>
        <v>4</v>
      </c>
      <c r="H10" s="39">
        <f>'Điểm Ktra và điểm thi'!G9</f>
        <v>5.25</v>
      </c>
      <c r="I10" s="26">
        <f t="shared" si="0"/>
        <v>10</v>
      </c>
      <c r="J10" s="40">
        <f t="shared" si="2"/>
        <v>9.3000000000000007</v>
      </c>
    </row>
    <row r="11" spans="1:12" ht="25.5" x14ac:dyDescent="0.2">
      <c r="A11" s="2">
        <v>9</v>
      </c>
      <c r="B11" s="3" t="s">
        <v>19</v>
      </c>
      <c r="C11" s="6" t="s">
        <v>20</v>
      </c>
      <c r="D11" s="26">
        <f>'Điểm bài tập'!D10</f>
        <v>0.5</v>
      </c>
      <c r="E11" s="25">
        <f>'Điểm danh'!D10</f>
        <v>0.5</v>
      </c>
      <c r="F11" s="35">
        <v>2.75</v>
      </c>
      <c r="G11" s="35">
        <f t="shared" si="1"/>
        <v>3.75</v>
      </c>
      <c r="H11" s="39">
        <f>'Điểm Ktra và điểm thi'!G10</f>
        <v>3.75</v>
      </c>
      <c r="I11" s="26">
        <f t="shared" si="0"/>
        <v>10</v>
      </c>
      <c r="J11" s="40">
        <f t="shared" si="2"/>
        <v>7.5</v>
      </c>
    </row>
    <row r="12" spans="1:12" ht="25.5" x14ac:dyDescent="0.2">
      <c r="A12" s="2">
        <v>10</v>
      </c>
      <c r="B12" s="3" t="s">
        <v>21</v>
      </c>
      <c r="C12" s="6" t="s">
        <v>22</v>
      </c>
      <c r="D12" s="26">
        <f>'Điểm bài tập'!D11</f>
        <v>1</v>
      </c>
      <c r="E12" s="25">
        <f>'Điểm danh'!D11</f>
        <v>0.5</v>
      </c>
      <c r="F12" s="35">
        <v>2</v>
      </c>
      <c r="G12" s="35">
        <f t="shared" si="1"/>
        <v>3.5</v>
      </c>
      <c r="H12" s="39">
        <f>'Điểm Ktra và điểm thi'!G11</f>
        <v>4.25</v>
      </c>
      <c r="I12" s="26">
        <f t="shared" si="0"/>
        <v>10</v>
      </c>
      <c r="J12" s="40">
        <f t="shared" si="2"/>
        <v>7.8</v>
      </c>
    </row>
    <row r="13" spans="1:12" ht="25.5" x14ac:dyDescent="0.2">
      <c r="A13" s="2">
        <v>11</v>
      </c>
      <c r="B13" s="3" t="s">
        <v>23</v>
      </c>
      <c r="C13" s="6" t="s">
        <v>24</v>
      </c>
      <c r="D13" s="26">
        <f>'Điểm bài tập'!D12</f>
        <v>1</v>
      </c>
      <c r="E13" s="25">
        <f>'Điểm danh'!D12</f>
        <v>0.5</v>
      </c>
      <c r="F13" s="35">
        <v>2</v>
      </c>
      <c r="G13" s="35">
        <f t="shared" si="1"/>
        <v>3.5</v>
      </c>
      <c r="H13" s="39">
        <f>'Điểm Ktra và điểm thi'!G12</f>
        <v>6</v>
      </c>
      <c r="I13" s="26">
        <f t="shared" si="0"/>
        <v>10</v>
      </c>
      <c r="J13" s="40">
        <f t="shared" si="2"/>
        <v>9.5</v>
      </c>
    </row>
    <row r="14" spans="1:12" ht="25.5" x14ac:dyDescent="0.2">
      <c r="A14" s="2">
        <v>12</v>
      </c>
      <c r="B14" s="3" t="s">
        <v>25</v>
      </c>
      <c r="C14" s="6" t="s">
        <v>26</v>
      </c>
      <c r="D14" s="26">
        <f>'Điểm bài tập'!D13</f>
        <v>0.5</v>
      </c>
      <c r="E14" s="25">
        <f>'Điểm danh'!D13</f>
        <v>0.5</v>
      </c>
      <c r="F14" s="35">
        <v>1.75</v>
      </c>
      <c r="G14" s="35">
        <f t="shared" si="1"/>
        <v>2.75</v>
      </c>
      <c r="H14" s="39">
        <f>'Điểm Ktra và điểm thi'!G13</f>
        <v>5.75</v>
      </c>
      <c r="I14" s="26">
        <f t="shared" si="0"/>
        <v>10</v>
      </c>
      <c r="J14" s="40">
        <f t="shared" si="2"/>
        <v>8.5</v>
      </c>
    </row>
    <row r="15" spans="1:12" ht="25.5" x14ac:dyDescent="0.2">
      <c r="A15" s="2">
        <v>13</v>
      </c>
      <c r="B15" s="3" t="s">
        <v>27</v>
      </c>
      <c r="C15" s="6" t="s">
        <v>28</v>
      </c>
      <c r="D15" s="26">
        <f>'Điểm bài tập'!D14</f>
        <v>1</v>
      </c>
      <c r="E15" s="25">
        <f>'Điểm danh'!D14</f>
        <v>0.5</v>
      </c>
      <c r="F15" s="35">
        <v>2.75</v>
      </c>
      <c r="G15" s="35">
        <f t="shared" si="1"/>
        <v>4</v>
      </c>
      <c r="H15" s="39">
        <f>'Điểm Ktra và điểm thi'!G14</f>
        <v>5.5</v>
      </c>
      <c r="I15" s="26">
        <f t="shared" si="0"/>
        <v>10</v>
      </c>
      <c r="J15" s="40">
        <f t="shared" si="2"/>
        <v>9.5</v>
      </c>
    </row>
    <row r="16" spans="1:12" ht="25.5" x14ac:dyDescent="0.2">
      <c r="A16" s="2">
        <v>14</v>
      </c>
      <c r="B16" s="3" t="s">
        <v>29</v>
      </c>
      <c r="C16" s="6" t="s">
        <v>30</v>
      </c>
      <c r="D16" s="26">
        <f>'Điểm bài tập'!D15</f>
        <v>1</v>
      </c>
      <c r="E16" s="25">
        <f>'Điểm danh'!D15</f>
        <v>0.5</v>
      </c>
      <c r="F16" s="35">
        <v>2.5</v>
      </c>
      <c r="G16" s="35">
        <f t="shared" si="1"/>
        <v>4</v>
      </c>
      <c r="H16" s="39">
        <f>'Điểm Ktra và điểm thi'!G15</f>
        <v>5.75</v>
      </c>
      <c r="I16" s="26">
        <f t="shared" si="0"/>
        <v>10</v>
      </c>
      <c r="J16" s="40">
        <f t="shared" si="2"/>
        <v>9.8000000000000007</v>
      </c>
    </row>
    <row r="17" spans="1:10" ht="25.5" x14ac:dyDescent="0.2">
      <c r="A17" s="2">
        <v>15</v>
      </c>
      <c r="B17" s="3" t="s">
        <v>31</v>
      </c>
      <c r="C17" s="6" t="s">
        <v>32</v>
      </c>
      <c r="D17" s="26">
        <f>'Điểm bài tập'!D16</f>
        <v>1</v>
      </c>
      <c r="E17" s="25">
        <f>'Điểm danh'!D16</f>
        <v>0.5</v>
      </c>
      <c r="F17" s="35">
        <v>1</v>
      </c>
      <c r="G17" s="35">
        <f t="shared" si="1"/>
        <v>2.5</v>
      </c>
      <c r="H17" s="39">
        <f>'Điểm Ktra và điểm thi'!G16</f>
        <v>4</v>
      </c>
      <c r="I17" s="26">
        <f t="shared" si="0"/>
        <v>8</v>
      </c>
      <c r="J17" s="40">
        <f t="shared" si="2"/>
        <v>6.5</v>
      </c>
    </row>
    <row r="18" spans="1:10" ht="25.5" x14ac:dyDescent="0.2">
      <c r="A18" s="2">
        <v>16</v>
      </c>
      <c r="B18" s="3" t="s">
        <v>33</v>
      </c>
      <c r="C18" s="6" t="s">
        <v>34</v>
      </c>
      <c r="D18" s="26">
        <f>'Điểm bài tập'!D17</f>
        <v>0.5</v>
      </c>
      <c r="E18" s="25">
        <f>'Điểm danh'!D17</f>
        <v>0.5</v>
      </c>
      <c r="F18" s="35">
        <v>2.75</v>
      </c>
      <c r="G18" s="35">
        <f t="shared" si="1"/>
        <v>3.75</v>
      </c>
      <c r="H18" s="39">
        <f>'Điểm Ktra và điểm thi'!G17</f>
        <v>5.5</v>
      </c>
      <c r="I18" s="26">
        <f t="shared" si="0"/>
        <v>10</v>
      </c>
      <c r="J18" s="40">
        <f t="shared" si="2"/>
        <v>9.3000000000000007</v>
      </c>
    </row>
    <row r="19" spans="1:10" ht="25.5" x14ac:dyDescent="0.2">
      <c r="A19" s="2">
        <v>17</v>
      </c>
      <c r="B19" s="3" t="s">
        <v>35</v>
      </c>
      <c r="C19" s="6" t="s">
        <v>36</v>
      </c>
      <c r="D19" s="26">
        <f>'Điểm bài tập'!D18</f>
        <v>1</v>
      </c>
      <c r="E19" s="25">
        <f>'Điểm danh'!D18</f>
        <v>0.5</v>
      </c>
      <c r="F19" s="35">
        <v>2.75</v>
      </c>
      <c r="G19" s="35">
        <f t="shared" si="1"/>
        <v>4</v>
      </c>
      <c r="H19" s="39">
        <f>'Điểm Ktra và điểm thi'!G18</f>
        <v>6</v>
      </c>
      <c r="I19" s="26">
        <f t="shared" si="0"/>
        <v>10</v>
      </c>
      <c r="J19" s="40">
        <f t="shared" si="2"/>
        <v>10</v>
      </c>
    </row>
    <row r="20" spans="1:10" ht="25.5" x14ac:dyDescent="0.2">
      <c r="A20" s="2">
        <v>18</v>
      </c>
      <c r="B20" s="3" t="s">
        <v>37</v>
      </c>
      <c r="C20" s="6" t="s">
        <v>38</v>
      </c>
      <c r="D20" s="26">
        <f>'Điểm bài tập'!D19</f>
        <v>0</v>
      </c>
      <c r="E20" s="25">
        <f>'Điểm danh'!D19</f>
        <v>0.2</v>
      </c>
      <c r="F20" s="35">
        <v>2</v>
      </c>
      <c r="G20" s="35">
        <f t="shared" si="1"/>
        <v>2.2000000000000002</v>
      </c>
      <c r="H20" s="39">
        <f>'Điểm Ktra và điểm thi'!G19</f>
        <v>2.5</v>
      </c>
      <c r="I20" s="26">
        <f t="shared" si="0"/>
        <v>6.9</v>
      </c>
      <c r="J20" s="40">
        <f t="shared" si="2"/>
        <v>4.7</v>
      </c>
    </row>
    <row r="21" spans="1:10" ht="25.5" x14ac:dyDescent="0.2">
      <c r="A21" s="2">
        <v>19</v>
      </c>
      <c r="B21" s="3" t="s">
        <v>39</v>
      </c>
      <c r="C21" s="6" t="s">
        <v>40</v>
      </c>
      <c r="D21" s="26">
        <f>'Điểm bài tập'!D20</f>
        <v>1</v>
      </c>
      <c r="E21" s="25">
        <f>'Điểm danh'!D20</f>
        <v>0.5</v>
      </c>
      <c r="F21" s="35">
        <v>1.75</v>
      </c>
      <c r="G21" s="35">
        <f t="shared" si="1"/>
        <v>3.25</v>
      </c>
      <c r="H21" s="39">
        <f>'Điểm Ktra và điểm thi'!G20</f>
        <v>5.25</v>
      </c>
      <c r="I21" s="26">
        <f t="shared" si="0"/>
        <v>10</v>
      </c>
      <c r="J21" s="40">
        <f t="shared" si="2"/>
        <v>8.5</v>
      </c>
    </row>
    <row r="22" spans="1:10" ht="25.5" x14ac:dyDescent="0.2">
      <c r="A22" s="2">
        <v>20</v>
      </c>
      <c r="B22" s="3" t="s">
        <v>41</v>
      </c>
      <c r="C22" s="6" t="s">
        <v>42</v>
      </c>
      <c r="D22" s="26">
        <f>'Điểm bài tập'!D21</f>
        <v>0</v>
      </c>
      <c r="E22" s="25">
        <f>'Điểm danh'!D21</f>
        <v>0.2</v>
      </c>
      <c r="F22" s="35">
        <v>1.25</v>
      </c>
      <c r="G22" s="35">
        <f t="shared" si="1"/>
        <v>1.45</v>
      </c>
      <c r="H22" s="39">
        <f>'Điểm Ktra và điểm thi'!G21</f>
        <v>2.5</v>
      </c>
      <c r="I22" s="26">
        <f t="shared" si="0"/>
        <v>5.4</v>
      </c>
      <c r="J22" s="40">
        <f t="shared" si="2"/>
        <v>4</v>
      </c>
    </row>
    <row r="23" spans="1:10" ht="25.5" x14ac:dyDescent="0.2">
      <c r="A23" s="2">
        <v>21</v>
      </c>
      <c r="B23" s="3" t="s">
        <v>43</v>
      </c>
      <c r="C23" s="6" t="s">
        <v>44</v>
      </c>
      <c r="D23" s="26">
        <f>'Điểm bài tập'!D22</f>
        <v>0</v>
      </c>
      <c r="E23" s="25">
        <f>'Điểm danh'!D22</f>
        <v>0.5</v>
      </c>
      <c r="F23" s="35">
        <v>2</v>
      </c>
      <c r="G23" s="35">
        <f t="shared" si="1"/>
        <v>2.5</v>
      </c>
      <c r="H23" s="39">
        <f>'Điểm Ktra và điểm thi'!G22</f>
        <v>5.25</v>
      </c>
      <c r="I23" s="26">
        <f t="shared" si="0"/>
        <v>10</v>
      </c>
      <c r="J23" s="40">
        <f t="shared" si="2"/>
        <v>7.8</v>
      </c>
    </row>
    <row r="24" spans="1:10" ht="25.5" x14ac:dyDescent="0.2">
      <c r="A24" s="2">
        <v>22</v>
      </c>
      <c r="B24" s="3" t="s">
        <v>45</v>
      </c>
      <c r="C24" s="6" t="s">
        <v>46</v>
      </c>
      <c r="D24" s="26">
        <f>'Điểm bài tập'!D23</f>
        <v>1</v>
      </c>
      <c r="E24" s="25">
        <f>'Điểm danh'!D23</f>
        <v>0.5</v>
      </c>
      <c r="F24" s="35">
        <v>2.25</v>
      </c>
      <c r="G24" s="35">
        <f t="shared" si="1"/>
        <v>3.75</v>
      </c>
      <c r="H24" s="39">
        <f>'Điểm Ktra và điểm thi'!G23</f>
        <v>4.5</v>
      </c>
      <c r="I24" s="26">
        <f t="shared" si="0"/>
        <v>10</v>
      </c>
      <c r="J24" s="40">
        <f t="shared" si="2"/>
        <v>8.3000000000000007</v>
      </c>
    </row>
    <row r="25" spans="1:10" ht="25.5" x14ac:dyDescent="0.2">
      <c r="A25" s="2">
        <v>23</v>
      </c>
      <c r="B25" s="3" t="s">
        <v>47</v>
      </c>
      <c r="C25" s="6" t="s">
        <v>48</v>
      </c>
      <c r="D25" s="26">
        <f>'Điểm bài tập'!D24</f>
        <v>0</v>
      </c>
      <c r="E25" s="25">
        <f>'Điểm danh'!D24</f>
        <v>0.5</v>
      </c>
      <c r="F25" s="35">
        <v>1.5</v>
      </c>
      <c r="G25" s="35">
        <f t="shared" si="1"/>
        <v>2</v>
      </c>
      <c r="H25" s="39">
        <f>'Điểm Ktra và điểm thi'!G24</f>
        <v>4.5</v>
      </c>
      <c r="I25" s="26">
        <f t="shared" si="0"/>
        <v>8.5</v>
      </c>
      <c r="J25" s="40">
        <f t="shared" si="2"/>
        <v>6.5</v>
      </c>
    </row>
    <row r="26" spans="1:10" ht="25.5" x14ac:dyDescent="0.2">
      <c r="A26" s="2">
        <v>24</v>
      </c>
      <c r="B26" s="3" t="s">
        <v>49</v>
      </c>
      <c r="C26" s="6" t="s">
        <v>50</v>
      </c>
      <c r="D26" s="26">
        <f>'Điểm bài tập'!D25</f>
        <v>0</v>
      </c>
      <c r="E26" s="25">
        <f>'Điểm danh'!D25</f>
        <v>0.2</v>
      </c>
      <c r="F26" s="35">
        <v>1.25</v>
      </c>
      <c r="G26" s="35">
        <f t="shared" si="1"/>
        <v>1.45</v>
      </c>
      <c r="H26" s="39">
        <f>'Điểm Ktra và điểm thi'!G25</f>
        <v>4</v>
      </c>
      <c r="I26" s="26">
        <f t="shared" si="0"/>
        <v>6.9</v>
      </c>
      <c r="J26" s="40">
        <f t="shared" si="2"/>
        <v>5.5</v>
      </c>
    </row>
    <row r="27" spans="1:10" ht="25.5" x14ac:dyDescent="0.2">
      <c r="A27" s="2">
        <v>25</v>
      </c>
      <c r="B27" s="3" t="s">
        <v>51</v>
      </c>
      <c r="C27" s="6" t="s">
        <v>52</v>
      </c>
      <c r="D27" s="26">
        <f>'Điểm bài tập'!D26</f>
        <v>0</v>
      </c>
      <c r="E27" s="37">
        <v>0</v>
      </c>
      <c r="F27" s="35">
        <v>1.25</v>
      </c>
      <c r="G27" s="35">
        <f t="shared" si="1"/>
        <v>1.25</v>
      </c>
      <c r="H27" s="39">
        <f>'Điểm Ktra và điểm thi'!G26</f>
        <v>1.25</v>
      </c>
      <c r="I27" s="26">
        <f t="shared" si="0"/>
        <v>3.75</v>
      </c>
      <c r="J27" s="40">
        <f t="shared" si="2"/>
        <v>2.5</v>
      </c>
    </row>
    <row r="28" spans="1:10" ht="25.5" x14ac:dyDescent="0.2">
      <c r="A28" s="2">
        <v>26</v>
      </c>
      <c r="B28" s="3" t="s">
        <v>53</v>
      </c>
      <c r="C28" s="6" t="s">
        <v>54</v>
      </c>
      <c r="D28" s="26">
        <f>'Điểm bài tập'!D27</f>
        <v>0</v>
      </c>
      <c r="E28" s="25">
        <f>'Điểm danh'!D27</f>
        <v>0.4</v>
      </c>
      <c r="F28" s="35">
        <v>2</v>
      </c>
      <c r="G28" s="35">
        <f t="shared" si="1"/>
        <v>2.4</v>
      </c>
      <c r="H28" s="39">
        <f>'Điểm Ktra và điểm thi'!G27</f>
        <v>3.5</v>
      </c>
      <c r="I28" s="26">
        <f t="shared" si="0"/>
        <v>8.3000000000000007</v>
      </c>
      <c r="J28" s="40">
        <f t="shared" si="2"/>
        <v>5.9</v>
      </c>
    </row>
    <row r="29" spans="1:10" ht="25.5" x14ac:dyDescent="0.2">
      <c r="A29" s="2">
        <v>27</v>
      </c>
      <c r="B29" s="3" t="s">
        <v>55</v>
      </c>
      <c r="C29" s="6" t="s">
        <v>56</v>
      </c>
      <c r="D29" s="26">
        <f>'Điểm bài tập'!D28</f>
        <v>0</v>
      </c>
      <c r="E29" s="25">
        <f>'Điểm danh'!D28</f>
        <v>0.3</v>
      </c>
      <c r="F29" s="35">
        <v>1.25</v>
      </c>
      <c r="G29" s="35">
        <f t="shared" si="1"/>
        <v>1.55</v>
      </c>
      <c r="H29" s="39">
        <f>'Điểm Ktra và điểm thi'!G28</f>
        <v>3.25</v>
      </c>
      <c r="I29" s="26">
        <f t="shared" si="0"/>
        <v>6.35</v>
      </c>
      <c r="J29" s="40">
        <f t="shared" si="2"/>
        <v>4.8</v>
      </c>
    </row>
    <row r="30" spans="1:10" ht="25.5" x14ac:dyDescent="0.2">
      <c r="A30" s="2">
        <v>28</v>
      </c>
      <c r="B30" s="3" t="s">
        <v>57</v>
      </c>
      <c r="C30" s="6" t="s">
        <v>58</v>
      </c>
      <c r="D30" s="26">
        <f>'Điểm bài tập'!D29</f>
        <v>0</v>
      </c>
      <c r="E30" s="25">
        <f>'Điểm danh'!D29</f>
        <v>0.5</v>
      </c>
      <c r="F30" s="35">
        <v>2.5</v>
      </c>
      <c r="G30" s="35">
        <f t="shared" si="1"/>
        <v>3</v>
      </c>
      <c r="H30" s="39">
        <f>'Điểm Ktra và điểm thi'!G29</f>
        <v>5.25</v>
      </c>
      <c r="I30" s="26">
        <f t="shared" si="0"/>
        <v>10</v>
      </c>
      <c r="J30" s="40">
        <f t="shared" si="2"/>
        <v>8.3000000000000007</v>
      </c>
    </row>
    <row r="31" spans="1:10" ht="25.5" x14ac:dyDescent="0.2">
      <c r="A31" s="2">
        <v>29</v>
      </c>
      <c r="B31" s="3" t="s">
        <v>59</v>
      </c>
      <c r="C31" s="6" t="s">
        <v>60</v>
      </c>
      <c r="D31" s="26">
        <f>'Điểm bài tập'!D30</f>
        <v>0</v>
      </c>
      <c r="E31" s="25">
        <f>'Điểm danh'!D30</f>
        <v>0.5</v>
      </c>
      <c r="F31" s="35">
        <v>1</v>
      </c>
      <c r="G31" s="35">
        <f t="shared" si="1"/>
        <v>1.5</v>
      </c>
      <c r="H31" s="39">
        <f>'Điểm Ktra và điểm thi'!G30</f>
        <v>4</v>
      </c>
      <c r="I31" s="26">
        <f t="shared" si="0"/>
        <v>7</v>
      </c>
      <c r="J31" s="40">
        <f t="shared" si="2"/>
        <v>5.5</v>
      </c>
    </row>
    <row r="32" spans="1:10" ht="25.5" x14ac:dyDescent="0.2">
      <c r="A32" s="2">
        <v>30</v>
      </c>
      <c r="B32" s="3" t="s">
        <v>61</v>
      </c>
      <c r="C32" s="6" t="s">
        <v>62</v>
      </c>
      <c r="D32" s="26">
        <f>'Điểm bài tập'!D31</f>
        <v>0.5</v>
      </c>
      <c r="E32" s="25">
        <f>'Điểm danh'!D31</f>
        <v>0.5</v>
      </c>
      <c r="F32" s="35">
        <v>0.75</v>
      </c>
      <c r="G32" s="35">
        <f t="shared" si="1"/>
        <v>1.75</v>
      </c>
      <c r="H32" s="39">
        <f>'Điểm Ktra và điểm thi'!G31</f>
        <v>4.5</v>
      </c>
      <c r="I32" s="26">
        <f t="shared" si="0"/>
        <v>7.5</v>
      </c>
      <c r="J32" s="40">
        <f t="shared" si="2"/>
        <v>6.3</v>
      </c>
    </row>
    <row r="33" spans="1:10" ht="25.5" x14ac:dyDescent="0.2">
      <c r="A33" s="2">
        <v>31</v>
      </c>
      <c r="B33" s="3" t="s">
        <v>63</v>
      </c>
      <c r="C33" s="6" t="s">
        <v>64</v>
      </c>
      <c r="D33" s="26">
        <f>'Điểm bài tập'!D32</f>
        <v>0</v>
      </c>
      <c r="E33" s="25">
        <f>'Điểm danh'!D32</f>
        <v>0.5</v>
      </c>
      <c r="F33" s="36">
        <v>0</v>
      </c>
      <c r="G33" s="35">
        <f t="shared" si="1"/>
        <v>0.5</v>
      </c>
      <c r="H33" s="39">
        <f>'Điểm Ktra và điểm thi'!G32</f>
        <v>3.75</v>
      </c>
      <c r="I33" s="26">
        <f t="shared" si="0"/>
        <v>4.75</v>
      </c>
      <c r="J33" s="41"/>
    </row>
    <row r="34" spans="1:10" ht="25.5" x14ac:dyDescent="0.2">
      <c r="A34" s="2">
        <v>32</v>
      </c>
      <c r="B34" s="3" t="s">
        <v>65</v>
      </c>
      <c r="C34" s="6" t="s">
        <v>66</v>
      </c>
      <c r="D34" s="26">
        <f>'Điểm bài tập'!D33</f>
        <v>0.5</v>
      </c>
      <c r="E34" s="25">
        <f>'Điểm danh'!D33</f>
        <v>0.5</v>
      </c>
      <c r="F34" s="35">
        <v>3</v>
      </c>
      <c r="G34" s="35">
        <f t="shared" si="1"/>
        <v>4</v>
      </c>
      <c r="H34" s="39">
        <f>'Điểm Ktra và điểm thi'!G33</f>
        <v>6</v>
      </c>
      <c r="I34" s="26">
        <f t="shared" si="0"/>
        <v>10</v>
      </c>
      <c r="J34" s="40">
        <f t="shared" si="2"/>
        <v>10</v>
      </c>
    </row>
    <row r="35" spans="1:10" ht="25.5" x14ac:dyDescent="0.2">
      <c r="A35" s="2">
        <v>33</v>
      </c>
      <c r="B35" s="3" t="s">
        <v>67</v>
      </c>
      <c r="C35" s="6" t="s">
        <v>68</v>
      </c>
      <c r="D35" s="26">
        <f>'Điểm bài tập'!D34</f>
        <v>0</v>
      </c>
      <c r="E35" s="25">
        <f>'Điểm danh'!D34</f>
        <v>0.4</v>
      </c>
      <c r="F35" s="35">
        <v>1.25</v>
      </c>
      <c r="G35" s="35">
        <f t="shared" si="1"/>
        <v>1.65</v>
      </c>
      <c r="H35" s="39">
        <f>'Điểm Ktra và điểm thi'!G34</f>
        <v>3</v>
      </c>
      <c r="I35" s="26">
        <f t="shared" ref="I35:I66" si="3">IF(SUM(E35:H35)&gt;10,10,SUM(E35:H35))</f>
        <v>6.3</v>
      </c>
      <c r="J35" s="40">
        <f t="shared" si="2"/>
        <v>4.7</v>
      </c>
    </row>
    <row r="36" spans="1:10" ht="25.5" x14ac:dyDescent="0.2">
      <c r="A36" s="2">
        <v>34</v>
      </c>
      <c r="B36" s="3" t="s">
        <v>69</v>
      </c>
      <c r="C36" s="6" t="s">
        <v>70</v>
      </c>
      <c r="D36" s="26">
        <f>'Điểm bài tập'!D35</f>
        <v>0.5</v>
      </c>
      <c r="E36" s="25">
        <f>'Điểm danh'!D35</f>
        <v>0.5</v>
      </c>
      <c r="F36" s="35">
        <v>1.75</v>
      </c>
      <c r="G36" s="35">
        <f t="shared" si="1"/>
        <v>2.75</v>
      </c>
      <c r="H36" s="39">
        <f>'Điểm Ktra và điểm thi'!G35</f>
        <v>2.5</v>
      </c>
      <c r="I36" s="26">
        <f t="shared" si="3"/>
        <v>7.5</v>
      </c>
      <c r="J36" s="40">
        <f t="shared" si="2"/>
        <v>5.3</v>
      </c>
    </row>
    <row r="37" spans="1:10" ht="25.5" x14ac:dyDescent="0.2">
      <c r="A37" s="2">
        <v>35</v>
      </c>
      <c r="B37" s="3" t="s">
        <v>71</v>
      </c>
      <c r="C37" s="6" t="s">
        <v>72</v>
      </c>
      <c r="D37" s="26">
        <f>'Điểm bài tập'!D36</f>
        <v>1</v>
      </c>
      <c r="E37" s="25">
        <f>'Điểm danh'!D36</f>
        <v>0.5</v>
      </c>
      <c r="F37" s="35">
        <v>2</v>
      </c>
      <c r="G37" s="35">
        <f t="shared" si="1"/>
        <v>3.5</v>
      </c>
      <c r="H37" s="39">
        <f>'Điểm Ktra và điểm thi'!G36</f>
        <v>5.5</v>
      </c>
      <c r="I37" s="26">
        <f t="shared" si="3"/>
        <v>10</v>
      </c>
      <c r="J37" s="40">
        <f t="shared" si="2"/>
        <v>9</v>
      </c>
    </row>
    <row r="38" spans="1:10" ht="25.5" x14ac:dyDescent="0.2">
      <c r="A38" s="2">
        <v>36</v>
      </c>
      <c r="B38" s="3" t="s">
        <v>73</v>
      </c>
      <c r="C38" s="6" t="s">
        <v>74</v>
      </c>
      <c r="D38" s="26">
        <f>'Điểm bài tập'!D37</f>
        <v>0.5</v>
      </c>
      <c r="E38" s="25">
        <f>'Điểm danh'!D37</f>
        <v>0.5</v>
      </c>
      <c r="F38" s="35">
        <v>2</v>
      </c>
      <c r="G38" s="35">
        <f t="shared" si="1"/>
        <v>3</v>
      </c>
      <c r="H38" s="39">
        <f>'Điểm Ktra và điểm thi'!G37</f>
        <v>5</v>
      </c>
      <c r="I38" s="26">
        <f t="shared" si="3"/>
        <v>10</v>
      </c>
      <c r="J38" s="40">
        <f t="shared" si="2"/>
        <v>8</v>
      </c>
    </row>
    <row r="39" spans="1:10" ht="25.5" x14ac:dyDescent="0.2">
      <c r="A39" s="2">
        <v>37</v>
      </c>
      <c r="B39" s="3" t="s">
        <v>75</v>
      </c>
      <c r="C39" s="6" t="s">
        <v>76</v>
      </c>
      <c r="D39" s="26">
        <f>'Điểm bài tập'!D38</f>
        <v>0.5</v>
      </c>
      <c r="E39" s="25">
        <f>'Điểm danh'!D38</f>
        <v>0.5</v>
      </c>
      <c r="F39" s="35">
        <v>1</v>
      </c>
      <c r="G39" s="35">
        <f t="shared" si="1"/>
        <v>2</v>
      </c>
      <c r="H39" s="39">
        <f>'Điểm Ktra và điểm thi'!G38</f>
        <v>3.75</v>
      </c>
      <c r="I39" s="26">
        <f t="shared" si="3"/>
        <v>7.25</v>
      </c>
      <c r="J39" s="40">
        <f t="shared" si="2"/>
        <v>5.8</v>
      </c>
    </row>
    <row r="40" spans="1:10" ht="25.5" x14ac:dyDescent="0.2">
      <c r="A40" s="2">
        <v>38</v>
      </c>
      <c r="B40" s="3" t="s">
        <v>77</v>
      </c>
      <c r="C40" s="6" t="s">
        <v>78</v>
      </c>
      <c r="D40" s="26">
        <f>'Điểm bài tập'!D39</f>
        <v>1</v>
      </c>
      <c r="E40" s="25">
        <f>'Điểm danh'!D39</f>
        <v>0.5</v>
      </c>
      <c r="F40" s="35">
        <v>1.75</v>
      </c>
      <c r="G40" s="35">
        <f t="shared" si="1"/>
        <v>3.25</v>
      </c>
      <c r="H40" s="39">
        <f>'Điểm Ktra và điểm thi'!G39</f>
        <v>5.75</v>
      </c>
      <c r="I40" s="26">
        <f t="shared" si="3"/>
        <v>10</v>
      </c>
      <c r="J40" s="40">
        <f t="shared" si="2"/>
        <v>9</v>
      </c>
    </row>
    <row r="41" spans="1:10" ht="25.5" x14ac:dyDescent="0.2">
      <c r="A41" s="2">
        <v>39</v>
      </c>
      <c r="B41" s="3" t="s">
        <v>79</v>
      </c>
      <c r="C41" s="6" t="s">
        <v>80</v>
      </c>
      <c r="D41" s="26">
        <f>'Điểm bài tập'!D40</f>
        <v>1</v>
      </c>
      <c r="E41" s="25">
        <f>'Điểm danh'!D40</f>
        <v>0.5</v>
      </c>
      <c r="F41" s="35">
        <v>1</v>
      </c>
      <c r="G41" s="35">
        <f t="shared" si="1"/>
        <v>2.5</v>
      </c>
      <c r="H41" s="39">
        <f>'Điểm Ktra và điểm thi'!G40</f>
        <v>5.75</v>
      </c>
      <c r="I41" s="26">
        <f t="shared" si="3"/>
        <v>9.75</v>
      </c>
      <c r="J41" s="40">
        <f t="shared" si="2"/>
        <v>8.3000000000000007</v>
      </c>
    </row>
    <row r="42" spans="1:10" ht="25.5" x14ac:dyDescent="0.2">
      <c r="A42" s="2">
        <v>40</v>
      </c>
      <c r="B42" s="3" t="s">
        <v>81</v>
      </c>
      <c r="C42" s="6" t="s">
        <v>82</v>
      </c>
      <c r="D42" s="26">
        <f>'Điểm bài tập'!D41</f>
        <v>1</v>
      </c>
      <c r="E42" s="25">
        <f>'Điểm danh'!D41</f>
        <v>0.5</v>
      </c>
      <c r="F42" s="35">
        <v>2.5</v>
      </c>
      <c r="G42" s="35">
        <f t="shared" si="1"/>
        <v>4</v>
      </c>
      <c r="H42" s="39">
        <f>'Điểm Ktra và điểm thi'!G41</f>
        <v>5.25</v>
      </c>
      <c r="I42" s="26">
        <f t="shared" si="3"/>
        <v>10</v>
      </c>
      <c r="J42" s="40">
        <f t="shared" si="2"/>
        <v>9.3000000000000007</v>
      </c>
    </row>
    <row r="43" spans="1:10" ht="25.5" x14ac:dyDescent="0.2">
      <c r="A43" s="2">
        <v>41</v>
      </c>
      <c r="B43" s="3" t="s">
        <v>83</v>
      </c>
      <c r="C43" s="6" t="s">
        <v>84</v>
      </c>
      <c r="D43" s="26">
        <f>'Điểm bài tập'!D42</f>
        <v>1</v>
      </c>
      <c r="E43" s="25">
        <f>'Điểm danh'!D42</f>
        <v>0.4</v>
      </c>
      <c r="F43" s="35">
        <v>1</v>
      </c>
      <c r="G43" s="35">
        <f t="shared" si="1"/>
        <v>2.4</v>
      </c>
      <c r="H43" s="39">
        <f>'Điểm Ktra và điểm thi'!G42</f>
        <v>5.75</v>
      </c>
      <c r="I43" s="26">
        <f t="shared" si="3"/>
        <v>9.5500000000000007</v>
      </c>
      <c r="J43" s="40">
        <f t="shared" si="2"/>
        <v>8.1999999999999993</v>
      </c>
    </row>
    <row r="44" spans="1:10" ht="25.5" x14ac:dyDescent="0.2">
      <c r="A44" s="2">
        <v>42</v>
      </c>
      <c r="B44" s="3" t="s">
        <v>85</v>
      </c>
      <c r="C44" s="6" t="s">
        <v>86</v>
      </c>
      <c r="D44" s="26">
        <f>'Điểm bài tập'!D43</f>
        <v>1</v>
      </c>
      <c r="E44" s="25">
        <f>'Điểm danh'!D43</f>
        <v>0.5</v>
      </c>
      <c r="F44" s="35">
        <v>1.25</v>
      </c>
      <c r="G44" s="35">
        <f t="shared" si="1"/>
        <v>2.75</v>
      </c>
      <c r="H44" s="39">
        <f>'Điểm Ktra và điểm thi'!G43</f>
        <v>3.75</v>
      </c>
      <c r="I44" s="26">
        <f t="shared" si="3"/>
        <v>8.25</v>
      </c>
      <c r="J44" s="40">
        <f t="shared" si="2"/>
        <v>6.5</v>
      </c>
    </row>
    <row r="45" spans="1:10" ht="25.5" x14ac:dyDescent="0.2">
      <c r="A45" s="2">
        <v>43</v>
      </c>
      <c r="B45" s="3" t="s">
        <v>87</v>
      </c>
      <c r="C45" s="6" t="s">
        <v>88</v>
      </c>
      <c r="D45" s="26">
        <f>'Điểm bài tập'!D44</f>
        <v>0.5</v>
      </c>
      <c r="E45" s="25">
        <f>'Điểm danh'!D44</f>
        <v>0.5</v>
      </c>
      <c r="F45" s="35">
        <v>2.5</v>
      </c>
      <c r="G45" s="35">
        <f t="shared" si="1"/>
        <v>3.5</v>
      </c>
      <c r="H45" s="39">
        <f>'Điểm Ktra và điểm thi'!G44</f>
        <v>5.5</v>
      </c>
      <c r="I45" s="26">
        <f t="shared" si="3"/>
        <v>10</v>
      </c>
      <c r="J45" s="40">
        <f t="shared" si="2"/>
        <v>9</v>
      </c>
    </row>
    <row r="46" spans="1:10" ht="25.5" x14ac:dyDescent="0.2">
      <c r="A46" s="2">
        <v>44</v>
      </c>
      <c r="B46" s="3" t="s">
        <v>89</v>
      </c>
      <c r="C46" s="6" t="s">
        <v>90</v>
      </c>
      <c r="D46" s="26">
        <f>'Điểm bài tập'!D45</f>
        <v>1</v>
      </c>
      <c r="E46" s="25">
        <f>'Điểm danh'!D45</f>
        <v>0.5</v>
      </c>
      <c r="F46" s="35">
        <v>2.5</v>
      </c>
      <c r="G46" s="35">
        <f t="shared" si="1"/>
        <v>4</v>
      </c>
      <c r="H46" s="39">
        <f>'Điểm Ktra và điểm thi'!G45</f>
        <v>5.75</v>
      </c>
      <c r="I46" s="26">
        <f t="shared" si="3"/>
        <v>10</v>
      </c>
      <c r="J46" s="40">
        <f t="shared" si="2"/>
        <v>9.8000000000000007</v>
      </c>
    </row>
    <row r="47" spans="1:10" ht="25.5" x14ac:dyDescent="0.2">
      <c r="A47" s="2">
        <v>45</v>
      </c>
      <c r="B47" s="3" t="s">
        <v>91</v>
      </c>
      <c r="C47" s="6" t="s">
        <v>92</v>
      </c>
      <c r="D47" s="26">
        <f>'Điểm bài tập'!D46</f>
        <v>1</v>
      </c>
      <c r="E47" s="25">
        <f>'Điểm danh'!D46</f>
        <v>0.5</v>
      </c>
      <c r="F47" s="35">
        <v>2.25</v>
      </c>
      <c r="G47" s="35">
        <f t="shared" si="1"/>
        <v>3.75</v>
      </c>
      <c r="H47" s="39">
        <f>'Điểm Ktra và điểm thi'!G46</f>
        <v>5.5</v>
      </c>
      <c r="I47" s="26">
        <f t="shared" si="3"/>
        <v>10</v>
      </c>
      <c r="J47" s="40">
        <f t="shared" si="2"/>
        <v>9.3000000000000007</v>
      </c>
    </row>
    <row r="48" spans="1:10" ht="25.5" x14ac:dyDescent="0.2">
      <c r="A48" s="2">
        <v>46</v>
      </c>
      <c r="B48" s="3" t="s">
        <v>93</v>
      </c>
      <c r="C48" s="6" t="s">
        <v>94</v>
      </c>
      <c r="D48" s="26">
        <f>'Điểm bài tập'!D47</f>
        <v>0</v>
      </c>
      <c r="E48" s="37">
        <v>0</v>
      </c>
      <c r="F48" s="35">
        <v>2</v>
      </c>
      <c r="G48" s="35">
        <f t="shared" si="1"/>
        <v>2</v>
      </c>
      <c r="H48" s="39">
        <f>'Điểm Ktra và điểm thi'!G47</f>
        <v>1.25</v>
      </c>
      <c r="I48" s="26">
        <f t="shared" si="3"/>
        <v>5.25</v>
      </c>
      <c r="J48" s="40">
        <f t="shared" si="2"/>
        <v>3.3</v>
      </c>
    </row>
    <row r="49" spans="1:10" ht="25.5" x14ac:dyDescent="0.2">
      <c r="A49" s="2">
        <v>47</v>
      </c>
      <c r="B49" s="3" t="s">
        <v>95</v>
      </c>
      <c r="C49" s="6" t="s">
        <v>96</v>
      </c>
      <c r="D49" s="26">
        <f>'Điểm bài tập'!D48</f>
        <v>1</v>
      </c>
      <c r="E49" s="25">
        <f>'Điểm danh'!D48</f>
        <v>0.5</v>
      </c>
      <c r="F49" s="35">
        <v>2.25</v>
      </c>
      <c r="G49" s="35">
        <f t="shared" si="1"/>
        <v>3.75</v>
      </c>
      <c r="H49" s="39">
        <f>'Điểm Ktra và điểm thi'!G48</f>
        <v>5.75</v>
      </c>
      <c r="I49" s="26">
        <f t="shared" si="3"/>
        <v>10</v>
      </c>
      <c r="J49" s="40">
        <f t="shared" si="2"/>
        <v>9.5</v>
      </c>
    </row>
    <row r="50" spans="1:10" ht="25.5" x14ac:dyDescent="0.2">
      <c r="A50" s="2">
        <v>48</v>
      </c>
      <c r="B50" s="3" t="s">
        <v>97</v>
      </c>
      <c r="C50" s="6" t="s">
        <v>98</v>
      </c>
      <c r="D50" s="26">
        <f>'Điểm bài tập'!D49</f>
        <v>1</v>
      </c>
      <c r="E50" s="25">
        <f>'Điểm danh'!D49</f>
        <v>0.5</v>
      </c>
      <c r="F50" s="35">
        <v>2.75</v>
      </c>
      <c r="G50" s="35">
        <f t="shared" si="1"/>
        <v>4</v>
      </c>
      <c r="H50" s="39">
        <f>'Điểm Ktra và điểm thi'!G49</f>
        <v>5.5</v>
      </c>
      <c r="I50" s="26">
        <f t="shared" si="3"/>
        <v>10</v>
      </c>
      <c r="J50" s="40">
        <f t="shared" si="2"/>
        <v>9.5</v>
      </c>
    </row>
    <row r="51" spans="1:10" ht="25.5" x14ac:dyDescent="0.2">
      <c r="A51" s="2">
        <v>49</v>
      </c>
      <c r="B51" s="3" t="s">
        <v>99</v>
      </c>
      <c r="C51" s="6" t="s">
        <v>100</v>
      </c>
      <c r="D51" s="26">
        <f>'Điểm bài tập'!D50</f>
        <v>1</v>
      </c>
      <c r="E51" s="25">
        <f>'Điểm danh'!D50</f>
        <v>0.4</v>
      </c>
      <c r="F51" s="35">
        <v>2.5</v>
      </c>
      <c r="G51" s="35">
        <f t="shared" si="1"/>
        <v>3.9</v>
      </c>
      <c r="H51" s="39">
        <f>'Điểm Ktra và điểm thi'!G50</f>
        <v>5.75</v>
      </c>
      <c r="I51" s="26">
        <f t="shared" si="3"/>
        <v>10</v>
      </c>
      <c r="J51" s="40">
        <f t="shared" si="2"/>
        <v>9.6999999999999993</v>
      </c>
    </row>
    <row r="52" spans="1:10" ht="25.5" x14ac:dyDescent="0.2">
      <c r="A52" s="2">
        <v>50</v>
      </c>
      <c r="B52" s="3" t="s">
        <v>101</v>
      </c>
      <c r="C52" s="6" t="s">
        <v>102</v>
      </c>
      <c r="D52" s="26">
        <f>'Điểm bài tập'!D51</f>
        <v>1</v>
      </c>
      <c r="E52" s="25">
        <f>'Điểm danh'!D51</f>
        <v>0.5</v>
      </c>
      <c r="F52" s="35">
        <v>2</v>
      </c>
      <c r="G52" s="35">
        <f t="shared" si="1"/>
        <v>3.5</v>
      </c>
      <c r="H52" s="39">
        <f>'Điểm Ktra và điểm thi'!G51</f>
        <v>5.5</v>
      </c>
      <c r="I52" s="26">
        <f t="shared" si="3"/>
        <v>10</v>
      </c>
      <c r="J52" s="40">
        <f t="shared" si="2"/>
        <v>9</v>
      </c>
    </row>
    <row r="53" spans="1:10" ht="25.5" x14ac:dyDescent="0.2">
      <c r="A53" s="2">
        <v>51</v>
      </c>
      <c r="B53" s="3" t="s">
        <v>103</v>
      </c>
      <c r="C53" s="6" t="s">
        <v>104</v>
      </c>
      <c r="D53" s="26">
        <f>'Điểm bài tập'!D52</f>
        <v>1</v>
      </c>
      <c r="E53" s="25">
        <f>'Điểm danh'!D52</f>
        <v>0.5</v>
      </c>
      <c r="F53" s="35">
        <v>1.75</v>
      </c>
      <c r="G53" s="35">
        <f t="shared" si="1"/>
        <v>3.25</v>
      </c>
      <c r="H53" s="39">
        <f>'Điểm Ktra và điểm thi'!G52</f>
        <v>5</v>
      </c>
      <c r="I53" s="26">
        <f t="shared" si="3"/>
        <v>10</v>
      </c>
      <c r="J53" s="40">
        <f t="shared" si="2"/>
        <v>8.3000000000000007</v>
      </c>
    </row>
    <row r="54" spans="1:10" ht="25.5" x14ac:dyDescent="0.2">
      <c r="A54" s="2">
        <v>52</v>
      </c>
      <c r="B54" s="3" t="s">
        <v>105</v>
      </c>
      <c r="C54" s="6" t="s">
        <v>106</v>
      </c>
      <c r="D54" s="26">
        <f>'Điểm bài tập'!D53</f>
        <v>1</v>
      </c>
      <c r="E54" s="25">
        <f>'Điểm danh'!D53</f>
        <v>0.5</v>
      </c>
      <c r="F54" s="35">
        <v>2.5</v>
      </c>
      <c r="G54" s="35">
        <f t="shared" si="1"/>
        <v>4</v>
      </c>
      <c r="H54" s="39">
        <f>'Điểm Ktra và điểm thi'!G53</f>
        <v>6</v>
      </c>
      <c r="I54" s="26">
        <f t="shared" si="3"/>
        <v>10</v>
      </c>
      <c r="J54" s="40">
        <f t="shared" si="2"/>
        <v>10</v>
      </c>
    </row>
    <row r="55" spans="1:10" ht="25.5" x14ac:dyDescent="0.2">
      <c r="A55" s="2">
        <v>53</v>
      </c>
      <c r="B55" s="3" t="s">
        <v>107</v>
      </c>
      <c r="C55" s="6" t="s">
        <v>108</v>
      </c>
      <c r="D55" s="26">
        <f>'Điểm bài tập'!D54</f>
        <v>1</v>
      </c>
      <c r="E55" s="25">
        <f>'Điểm danh'!D54</f>
        <v>0.5</v>
      </c>
      <c r="F55" s="35">
        <v>1.75</v>
      </c>
      <c r="G55" s="35">
        <f t="shared" si="1"/>
        <v>3.25</v>
      </c>
      <c r="H55" s="39">
        <f>'Điểm Ktra và điểm thi'!G54</f>
        <v>5.75</v>
      </c>
      <c r="I55" s="26">
        <f t="shared" si="3"/>
        <v>10</v>
      </c>
      <c r="J55" s="40">
        <f t="shared" si="2"/>
        <v>9</v>
      </c>
    </row>
    <row r="56" spans="1:10" ht="25.5" x14ac:dyDescent="0.2">
      <c r="A56" s="2">
        <v>54</v>
      </c>
      <c r="B56" s="3" t="s">
        <v>109</v>
      </c>
      <c r="C56" s="6" t="s">
        <v>110</v>
      </c>
      <c r="D56" s="26">
        <f>'Điểm bài tập'!D55</f>
        <v>0</v>
      </c>
      <c r="E56" s="37">
        <v>0</v>
      </c>
      <c r="F56" s="35">
        <v>1.75</v>
      </c>
      <c r="G56" s="35">
        <f t="shared" si="1"/>
        <v>1.75</v>
      </c>
      <c r="H56" s="39">
        <f>'Điểm Ktra và điểm thi'!G55</f>
        <v>2.5</v>
      </c>
      <c r="I56" s="26">
        <f t="shared" si="3"/>
        <v>6</v>
      </c>
      <c r="J56" s="40">
        <f t="shared" si="2"/>
        <v>4.3</v>
      </c>
    </row>
    <row r="57" spans="1:10" ht="25.5" x14ac:dyDescent="0.2">
      <c r="A57" s="2">
        <v>55</v>
      </c>
      <c r="B57" s="3" t="s">
        <v>111</v>
      </c>
      <c r="C57" s="6" t="s">
        <v>112</v>
      </c>
      <c r="D57" s="26">
        <f>'Điểm bài tập'!D56</f>
        <v>1</v>
      </c>
      <c r="E57" s="25">
        <f>'Điểm danh'!D56</f>
        <v>0.5</v>
      </c>
      <c r="F57" s="35">
        <v>0.75</v>
      </c>
      <c r="G57" s="35">
        <f t="shared" si="1"/>
        <v>2.25</v>
      </c>
      <c r="H57" s="39">
        <f>'Điểm Ktra và điểm thi'!G56</f>
        <v>3</v>
      </c>
      <c r="I57" s="26">
        <f t="shared" si="3"/>
        <v>6.5</v>
      </c>
      <c r="J57" s="40">
        <f t="shared" si="2"/>
        <v>5.3</v>
      </c>
    </row>
    <row r="58" spans="1:10" ht="25.5" x14ac:dyDescent="0.2">
      <c r="A58" s="2">
        <v>56</v>
      </c>
      <c r="B58" s="3" t="s">
        <v>113</v>
      </c>
      <c r="C58" s="6" t="s">
        <v>114</v>
      </c>
      <c r="D58" s="26">
        <f>'Điểm bài tập'!D57</f>
        <v>0</v>
      </c>
      <c r="E58" s="25">
        <f>'Điểm danh'!D57</f>
        <v>0.5</v>
      </c>
      <c r="F58" s="35">
        <v>1.25</v>
      </c>
      <c r="G58" s="35">
        <f t="shared" si="1"/>
        <v>1.75</v>
      </c>
      <c r="H58" s="39">
        <f>'Điểm Ktra và điểm thi'!G57</f>
        <v>3.75</v>
      </c>
      <c r="I58" s="26">
        <f t="shared" si="3"/>
        <v>7.25</v>
      </c>
      <c r="J58" s="40">
        <f t="shared" si="2"/>
        <v>5.5</v>
      </c>
    </row>
    <row r="59" spans="1:10" ht="25.5" x14ac:dyDescent="0.2">
      <c r="A59" s="2">
        <v>57</v>
      </c>
      <c r="B59" s="3" t="s">
        <v>115</v>
      </c>
      <c r="C59" s="6" t="s">
        <v>116</v>
      </c>
      <c r="D59" s="26">
        <f>'Điểm bài tập'!D58</f>
        <v>1</v>
      </c>
      <c r="E59" s="25">
        <f>'Điểm danh'!D58</f>
        <v>0.5</v>
      </c>
      <c r="F59" s="35">
        <v>2.75</v>
      </c>
      <c r="G59" s="35">
        <f t="shared" si="1"/>
        <v>4</v>
      </c>
      <c r="H59" s="39">
        <f>'Điểm Ktra và điểm thi'!G58</f>
        <v>5.75</v>
      </c>
      <c r="I59" s="26">
        <f t="shared" si="3"/>
        <v>10</v>
      </c>
      <c r="J59" s="40">
        <f t="shared" si="2"/>
        <v>9.8000000000000007</v>
      </c>
    </row>
    <row r="60" spans="1:10" ht="25.5" x14ac:dyDescent="0.2">
      <c r="A60" s="2">
        <v>58</v>
      </c>
      <c r="B60" s="3" t="s">
        <v>117</v>
      </c>
      <c r="C60" s="6" t="s">
        <v>118</v>
      </c>
      <c r="D60" s="26">
        <f>'Điểm bài tập'!D59</f>
        <v>0.5</v>
      </c>
      <c r="E60" s="25">
        <f>'Điểm danh'!D59</f>
        <v>0.5</v>
      </c>
      <c r="F60" s="35">
        <v>2.5</v>
      </c>
      <c r="G60" s="35">
        <f t="shared" si="1"/>
        <v>3.5</v>
      </c>
      <c r="H60" s="39">
        <f>'Điểm Ktra và điểm thi'!G59</f>
        <v>5.25</v>
      </c>
      <c r="I60" s="26">
        <f t="shared" si="3"/>
        <v>10</v>
      </c>
      <c r="J60" s="40">
        <f t="shared" si="2"/>
        <v>8.8000000000000007</v>
      </c>
    </row>
    <row r="61" spans="1:10" ht="25.5" x14ac:dyDescent="0.2">
      <c r="A61" s="2">
        <v>59</v>
      </c>
      <c r="B61" s="3" t="s">
        <v>119</v>
      </c>
      <c r="C61" s="6" t="s">
        <v>120</v>
      </c>
      <c r="D61" s="26">
        <f>'Điểm bài tập'!D60</f>
        <v>0</v>
      </c>
      <c r="E61" s="25">
        <f>'Điểm danh'!D60</f>
        <v>0.5</v>
      </c>
      <c r="F61" s="35">
        <v>0.75</v>
      </c>
      <c r="G61" s="35">
        <f t="shared" si="1"/>
        <v>1.25</v>
      </c>
      <c r="H61" s="39">
        <f>'Điểm Ktra và điểm thi'!G60</f>
        <v>4.25</v>
      </c>
      <c r="I61" s="26">
        <f t="shared" si="3"/>
        <v>6.75</v>
      </c>
      <c r="J61" s="40">
        <f t="shared" si="2"/>
        <v>5.5</v>
      </c>
    </row>
    <row r="62" spans="1:10" ht="25.5" x14ac:dyDescent="0.2">
      <c r="A62" s="2">
        <v>60</v>
      </c>
      <c r="B62" s="3" t="s">
        <v>121</v>
      </c>
      <c r="C62" s="6" t="s">
        <v>122</v>
      </c>
      <c r="D62" s="26">
        <f>'Điểm bài tập'!D61</f>
        <v>1</v>
      </c>
      <c r="E62" s="25">
        <f>'Điểm danh'!D61</f>
        <v>0.5</v>
      </c>
      <c r="F62" s="35">
        <v>3</v>
      </c>
      <c r="G62" s="35">
        <f t="shared" si="1"/>
        <v>4</v>
      </c>
      <c r="H62" s="39">
        <f>'Điểm Ktra và điểm thi'!G61</f>
        <v>6</v>
      </c>
      <c r="I62" s="26">
        <f t="shared" si="3"/>
        <v>10</v>
      </c>
      <c r="J62" s="40">
        <f t="shared" si="2"/>
        <v>10</v>
      </c>
    </row>
    <row r="63" spans="1:10" ht="25.5" x14ac:dyDescent="0.2">
      <c r="A63" s="2">
        <v>61</v>
      </c>
      <c r="B63" s="3" t="s">
        <v>123</v>
      </c>
      <c r="C63" s="6" t="s">
        <v>124</v>
      </c>
      <c r="D63" s="26">
        <f>'Điểm bài tập'!D62</f>
        <v>1</v>
      </c>
      <c r="E63" s="25">
        <f>'Điểm danh'!D62</f>
        <v>0.5</v>
      </c>
      <c r="F63" s="35">
        <v>2</v>
      </c>
      <c r="G63" s="35">
        <f t="shared" si="1"/>
        <v>3.5</v>
      </c>
      <c r="H63" s="39">
        <f>'Điểm Ktra và điểm thi'!G62</f>
        <v>4.5</v>
      </c>
      <c r="I63" s="26">
        <f t="shared" si="3"/>
        <v>10</v>
      </c>
      <c r="J63" s="40">
        <f t="shared" si="2"/>
        <v>8</v>
      </c>
    </row>
    <row r="64" spans="1:10" ht="25.5" x14ac:dyDescent="0.2">
      <c r="A64" s="2">
        <v>62</v>
      </c>
      <c r="B64" s="3" t="s">
        <v>125</v>
      </c>
      <c r="C64" s="6" t="s">
        <v>126</v>
      </c>
      <c r="D64" s="26">
        <f>'Điểm bài tập'!D63</f>
        <v>0</v>
      </c>
      <c r="E64" s="25">
        <f>'Điểm danh'!D63</f>
        <v>0.5</v>
      </c>
      <c r="F64" s="35">
        <v>2.25</v>
      </c>
      <c r="G64" s="35">
        <f t="shared" si="1"/>
        <v>2.75</v>
      </c>
      <c r="H64" s="39">
        <f>'Điểm Ktra và điểm thi'!G63</f>
        <v>5.5</v>
      </c>
      <c r="I64" s="26">
        <f t="shared" si="3"/>
        <v>10</v>
      </c>
      <c r="J64" s="40">
        <f t="shared" si="2"/>
        <v>8.3000000000000007</v>
      </c>
    </row>
    <row r="65" spans="1:10" ht="25.5" x14ac:dyDescent="0.2">
      <c r="A65" s="2">
        <v>63</v>
      </c>
      <c r="B65" s="3" t="s">
        <v>127</v>
      </c>
      <c r="C65" s="6" t="s">
        <v>128</v>
      </c>
      <c r="D65" s="26">
        <f>'Điểm bài tập'!D64</f>
        <v>1</v>
      </c>
      <c r="E65" s="25">
        <f>'Điểm danh'!D64</f>
        <v>0.5</v>
      </c>
      <c r="F65" s="35">
        <v>2.25</v>
      </c>
      <c r="G65" s="35">
        <f t="shared" si="1"/>
        <v>3.75</v>
      </c>
      <c r="H65" s="39">
        <f>'Điểm Ktra và điểm thi'!G64</f>
        <v>5</v>
      </c>
      <c r="I65" s="26">
        <f t="shared" si="3"/>
        <v>10</v>
      </c>
      <c r="J65" s="40">
        <f t="shared" si="2"/>
        <v>8.8000000000000007</v>
      </c>
    </row>
    <row r="66" spans="1:10" ht="25.5" x14ac:dyDescent="0.2">
      <c r="A66" s="2">
        <v>64</v>
      </c>
      <c r="B66" s="3" t="s">
        <v>129</v>
      </c>
      <c r="C66" s="6" t="s">
        <v>130</v>
      </c>
      <c r="D66" s="26">
        <f>'Điểm bài tập'!D65</f>
        <v>1</v>
      </c>
      <c r="E66" s="25">
        <f>'Điểm danh'!D65</f>
        <v>0.5</v>
      </c>
      <c r="F66" s="35">
        <v>2.25</v>
      </c>
      <c r="G66" s="35">
        <f t="shared" si="1"/>
        <v>3.75</v>
      </c>
      <c r="H66" s="39">
        <f>'Điểm Ktra và điểm thi'!G65</f>
        <v>3.75</v>
      </c>
      <c r="I66" s="26">
        <f t="shared" si="3"/>
        <v>10</v>
      </c>
      <c r="J66" s="40">
        <f t="shared" si="2"/>
        <v>7.5</v>
      </c>
    </row>
    <row r="67" spans="1:10" ht="25.5" x14ac:dyDescent="0.2">
      <c r="A67" s="2">
        <v>65</v>
      </c>
      <c r="B67" s="3" t="s">
        <v>131</v>
      </c>
      <c r="C67" s="6" t="s">
        <v>132</v>
      </c>
      <c r="D67" s="26">
        <f>'Điểm bài tập'!D66</f>
        <v>0</v>
      </c>
      <c r="E67" s="25">
        <f>'Điểm danh'!D66</f>
        <v>0.5</v>
      </c>
      <c r="F67" s="35">
        <v>2</v>
      </c>
      <c r="G67" s="35">
        <f t="shared" si="1"/>
        <v>2.5</v>
      </c>
      <c r="H67" s="39">
        <f>'Điểm Ktra và điểm thi'!G66</f>
        <v>4.75</v>
      </c>
      <c r="I67" s="26">
        <f t="shared" ref="I67:I94" si="4">IF(SUM(E67:H67)&gt;10,10,SUM(E67:H67))</f>
        <v>9.75</v>
      </c>
      <c r="J67" s="40">
        <f t="shared" si="2"/>
        <v>7.3</v>
      </c>
    </row>
    <row r="68" spans="1:10" ht="25.5" x14ac:dyDescent="0.2">
      <c r="A68" s="2">
        <v>66</v>
      </c>
      <c r="B68" s="3" t="s">
        <v>133</v>
      </c>
      <c r="C68" s="6" t="s">
        <v>134</v>
      </c>
      <c r="D68" s="26">
        <f>'Điểm bài tập'!D67</f>
        <v>1</v>
      </c>
      <c r="E68" s="25">
        <f>'Điểm danh'!D67</f>
        <v>0.5</v>
      </c>
      <c r="F68" s="35">
        <v>2.25</v>
      </c>
      <c r="G68" s="35">
        <f t="shared" ref="G68:G94" si="5">IF(E68="Cấm thi","Cấm thi",MIN(SUM(D68:F68),4))</f>
        <v>3.75</v>
      </c>
      <c r="H68" s="39">
        <f>'Điểm Ktra và điểm thi'!G67</f>
        <v>5</v>
      </c>
      <c r="I68" s="26">
        <f t="shared" si="4"/>
        <v>10</v>
      </c>
      <c r="J68" s="40">
        <f t="shared" ref="J68:J94" si="6">ROUND(G68+H68,1)</f>
        <v>8.8000000000000007</v>
      </c>
    </row>
    <row r="69" spans="1:10" ht="25.5" x14ac:dyDescent="0.2">
      <c r="A69" s="2">
        <v>67</v>
      </c>
      <c r="B69" s="3" t="s">
        <v>135</v>
      </c>
      <c r="C69" s="6" t="s">
        <v>136</v>
      </c>
      <c r="D69" s="26">
        <f>'Điểm bài tập'!D68</f>
        <v>0</v>
      </c>
      <c r="E69" s="25">
        <f>'Điểm danh'!D68</f>
        <v>0.3</v>
      </c>
      <c r="F69" s="35">
        <v>1.5</v>
      </c>
      <c r="G69" s="35">
        <f t="shared" si="5"/>
        <v>1.8</v>
      </c>
      <c r="H69" s="39">
        <f>'Điểm Ktra và điểm thi'!G68</f>
        <v>4</v>
      </c>
      <c r="I69" s="26">
        <f t="shared" si="4"/>
        <v>7.6</v>
      </c>
      <c r="J69" s="40">
        <f t="shared" si="6"/>
        <v>5.8</v>
      </c>
    </row>
    <row r="70" spans="1:10" ht="25.5" x14ac:dyDescent="0.2">
      <c r="A70" s="2">
        <v>68</v>
      </c>
      <c r="B70" s="3" t="s">
        <v>137</v>
      </c>
      <c r="C70" s="6" t="s">
        <v>138</v>
      </c>
      <c r="D70" s="26">
        <f>'Điểm bài tập'!D69</f>
        <v>1</v>
      </c>
      <c r="E70" s="25">
        <f>'Điểm danh'!D69</f>
        <v>0.5</v>
      </c>
      <c r="F70" s="35">
        <v>1.5</v>
      </c>
      <c r="G70" s="35">
        <f t="shared" si="5"/>
        <v>3</v>
      </c>
      <c r="H70" s="39">
        <f>'Điểm Ktra và điểm thi'!G69</f>
        <v>5.25</v>
      </c>
      <c r="I70" s="26">
        <f t="shared" si="4"/>
        <v>10</v>
      </c>
      <c r="J70" s="40">
        <f t="shared" si="6"/>
        <v>8.3000000000000007</v>
      </c>
    </row>
    <row r="71" spans="1:10" ht="25.5" x14ac:dyDescent="0.2">
      <c r="A71" s="2">
        <v>69</v>
      </c>
      <c r="B71" s="3" t="s">
        <v>139</v>
      </c>
      <c r="C71" s="6" t="s">
        <v>140</v>
      </c>
      <c r="D71" s="26">
        <f>'Điểm bài tập'!D70</f>
        <v>0.5</v>
      </c>
      <c r="E71" s="25">
        <f>'Điểm danh'!D70</f>
        <v>0.5</v>
      </c>
      <c r="F71" s="35">
        <v>1.25</v>
      </c>
      <c r="G71" s="35">
        <f t="shared" si="5"/>
        <v>2.25</v>
      </c>
      <c r="H71" s="39">
        <f>'Điểm Ktra và điểm thi'!G70</f>
        <v>5.75</v>
      </c>
      <c r="I71" s="26">
        <f t="shared" si="4"/>
        <v>9.75</v>
      </c>
      <c r="J71" s="40">
        <f t="shared" si="6"/>
        <v>8</v>
      </c>
    </row>
    <row r="72" spans="1:10" ht="25.5" x14ac:dyDescent="0.2">
      <c r="A72" s="2">
        <v>70</v>
      </c>
      <c r="B72" s="3" t="s">
        <v>141</v>
      </c>
      <c r="C72" s="6" t="s">
        <v>140</v>
      </c>
      <c r="D72" s="26">
        <f>'Điểm bài tập'!D71</f>
        <v>1</v>
      </c>
      <c r="E72" s="25">
        <f>'Điểm danh'!D71</f>
        <v>0.5</v>
      </c>
      <c r="F72" s="35">
        <v>2.25</v>
      </c>
      <c r="G72" s="35">
        <f t="shared" si="5"/>
        <v>3.75</v>
      </c>
      <c r="H72" s="39">
        <f>'Điểm Ktra và điểm thi'!G71</f>
        <v>5.5</v>
      </c>
      <c r="I72" s="26">
        <f t="shared" si="4"/>
        <v>10</v>
      </c>
      <c r="J72" s="40">
        <f t="shared" si="6"/>
        <v>9.3000000000000007</v>
      </c>
    </row>
    <row r="73" spans="1:10" ht="25.5" x14ac:dyDescent="0.2">
      <c r="A73" s="2">
        <v>71</v>
      </c>
      <c r="B73" s="3" t="s">
        <v>142</v>
      </c>
      <c r="C73" s="6" t="s">
        <v>143</v>
      </c>
      <c r="D73" s="26">
        <f>'Điểm bài tập'!D72</f>
        <v>1</v>
      </c>
      <c r="E73" s="25">
        <f>'Điểm danh'!D72</f>
        <v>0.5</v>
      </c>
      <c r="F73" s="35">
        <v>1.5</v>
      </c>
      <c r="G73" s="35">
        <f t="shared" si="5"/>
        <v>3</v>
      </c>
      <c r="H73" s="39">
        <f>'Điểm Ktra và điểm thi'!G72</f>
        <v>4.75</v>
      </c>
      <c r="I73" s="26">
        <f t="shared" si="4"/>
        <v>9.75</v>
      </c>
      <c r="J73" s="40">
        <f t="shared" si="6"/>
        <v>7.8</v>
      </c>
    </row>
    <row r="74" spans="1:10" ht="25.5" x14ac:dyDescent="0.2">
      <c r="A74" s="2">
        <v>72</v>
      </c>
      <c r="B74" s="3" t="s">
        <v>144</v>
      </c>
      <c r="C74" s="6" t="s">
        <v>145</v>
      </c>
      <c r="D74" s="26">
        <f>'Điểm bài tập'!D73</f>
        <v>1</v>
      </c>
      <c r="E74" s="25">
        <f>'Điểm danh'!D73</f>
        <v>0.5</v>
      </c>
      <c r="F74" s="35">
        <v>2</v>
      </c>
      <c r="G74" s="35">
        <f t="shared" si="5"/>
        <v>3.5</v>
      </c>
      <c r="H74" s="39">
        <f>'Điểm Ktra và điểm thi'!G73</f>
        <v>5.75</v>
      </c>
      <c r="I74" s="26">
        <f t="shared" si="4"/>
        <v>10</v>
      </c>
      <c r="J74" s="40">
        <f t="shared" si="6"/>
        <v>9.3000000000000007</v>
      </c>
    </row>
    <row r="75" spans="1:10" ht="25.5" x14ac:dyDescent="0.2">
      <c r="A75" s="2">
        <v>73</v>
      </c>
      <c r="B75" s="3" t="s">
        <v>146</v>
      </c>
      <c r="C75" s="6" t="s">
        <v>147</v>
      </c>
      <c r="D75" s="26">
        <f>'Điểm bài tập'!D74</f>
        <v>0</v>
      </c>
      <c r="E75" s="25">
        <f>'Điểm danh'!D74</f>
        <v>0.3</v>
      </c>
      <c r="F75" s="35">
        <v>1.75</v>
      </c>
      <c r="G75" s="35">
        <f t="shared" si="5"/>
        <v>2.0499999999999998</v>
      </c>
      <c r="H75" s="39">
        <f>'Điểm Ktra và điểm thi'!G74</f>
        <v>18.25</v>
      </c>
      <c r="I75" s="26">
        <f t="shared" si="4"/>
        <v>10</v>
      </c>
      <c r="J75" s="40">
        <f t="shared" si="6"/>
        <v>20.3</v>
      </c>
    </row>
    <row r="76" spans="1:10" ht="25.5" x14ac:dyDescent="0.2">
      <c r="A76" s="2">
        <v>74</v>
      </c>
      <c r="B76" s="3" t="s">
        <v>148</v>
      </c>
      <c r="C76" s="6" t="s">
        <v>149</v>
      </c>
      <c r="D76" s="26">
        <f>'Điểm bài tập'!D75</f>
        <v>1</v>
      </c>
      <c r="E76" s="25">
        <f>'Điểm danh'!D75</f>
        <v>0.5</v>
      </c>
      <c r="F76" s="35">
        <v>2.5</v>
      </c>
      <c r="G76" s="35">
        <f t="shared" si="5"/>
        <v>4</v>
      </c>
      <c r="H76" s="39">
        <f>'Điểm Ktra và điểm thi'!G75</f>
        <v>5.75</v>
      </c>
      <c r="I76" s="26">
        <f t="shared" si="4"/>
        <v>10</v>
      </c>
      <c r="J76" s="40">
        <f t="shared" si="6"/>
        <v>9.8000000000000007</v>
      </c>
    </row>
    <row r="77" spans="1:10" ht="25.5" x14ac:dyDescent="0.2">
      <c r="A77" s="2">
        <v>75</v>
      </c>
      <c r="B77" s="3" t="s">
        <v>150</v>
      </c>
      <c r="C77" s="6" t="s">
        <v>151</v>
      </c>
      <c r="D77" s="26">
        <f>'Điểm bài tập'!D76</f>
        <v>0</v>
      </c>
      <c r="E77" s="25">
        <f>'Điểm danh'!D76</f>
        <v>0.3</v>
      </c>
      <c r="F77" s="35">
        <v>0.75</v>
      </c>
      <c r="G77" s="35">
        <f t="shared" si="5"/>
        <v>1.05</v>
      </c>
      <c r="H77" s="39">
        <f>'Điểm Ktra và điểm thi'!G76</f>
        <v>3.5</v>
      </c>
      <c r="I77" s="26">
        <f t="shared" si="4"/>
        <v>5.6</v>
      </c>
      <c r="J77" s="40">
        <f t="shared" si="6"/>
        <v>4.5999999999999996</v>
      </c>
    </row>
    <row r="78" spans="1:10" ht="25.5" x14ac:dyDescent="0.2">
      <c r="A78" s="2">
        <v>76</v>
      </c>
      <c r="B78" s="3" t="s">
        <v>152</v>
      </c>
      <c r="C78" s="6" t="s">
        <v>153</v>
      </c>
      <c r="D78" s="26">
        <f>'Điểm bài tập'!D77</f>
        <v>0.5</v>
      </c>
      <c r="E78" s="25">
        <f>'Điểm danh'!D77</f>
        <v>0.4</v>
      </c>
      <c r="F78" s="35">
        <v>2.25</v>
      </c>
      <c r="G78" s="35">
        <f t="shared" si="5"/>
        <v>3.15</v>
      </c>
      <c r="H78" s="39">
        <f>'Điểm Ktra và điểm thi'!G77</f>
        <v>4.25</v>
      </c>
      <c r="I78" s="26">
        <f t="shared" si="4"/>
        <v>10</v>
      </c>
      <c r="J78" s="40">
        <f t="shared" si="6"/>
        <v>7.4</v>
      </c>
    </row>
    <row r="79" spans="1:10" ht="25.5" x14ac:dyDescent="0.2">
      <c r="A79" s="2">
        <v>77</v>
      </c>
      <c r="B79" s="3" t="s">
        <v>154</v>
      </c>
      <c r="C79" s="6" t="s">
        <v>155</v>
      </c>
      <c r="D79" s="26">
        <f>'Điểm bài tập'!D78</f>
        <v>1</v>
      </c>
      <c r="E79" s="25">
        <f>'Điểm danh'!D78</f>
        <v>0.5</v>
      </c>
      <c r="F79" s="35">
        <v>2</v>
      </c>
      <c r="G79" s="35">
        <f t="shared" si="5"/>
        <v>3.5</v>
      </c>
      <c r="H79" s="39">
        <f>'Điểm Ktra và điểm thi'!G78</f>
        <v>5.25</v>
      </c>
      <c r="I79" s="26">
        <f t="shared" si="4"/>
        <v>10</v>
      </c>
      <c r="J79" s="40">
        <f t="shared" si="6"/>
        <v>8.8000000000000007</v>
      </c>
    </row>
    <row r="80" spans="1:10" ht="25.5" x14ac:dyDescent="0.2">
      <c r="A80" s="2">
        <v>78</v>
      </c>
      <c r="B80" s="3" t="s">
        <v>156</v>
      </c>
      <c r="C80" s="6" t="s">
        <v>157</v>
      </c>
      <c r="D80" s="26">
        <f>'Điểm bài tập'!D79</f>
        <v>0.5</v>
      </c>
      <c r="E80" s="25">
        <f>'Điểm danh'!D79</f>
        <v>0.5</v>
      </c>
      <c r="F80" s="35">
        <v>2.25</v>
      </c>
      <c r="G80" s="35">
        <f t="shared" si="5"/>
        <v>3.25</v>
      </c>
      <c r="H80" s="39">
        <f>'Điểm Ktra và điểm thi'!G79</f>
        <v>5.5</v>
      </c>
      <c r="I80" s="26">
        <f t="shared" si="4"/>
        <v>10</v>
      </c>
      <c r="J80" s="40">
        <f t="shared" si="6"/>
        <v>8.8000000000000007</v>
      </c>
    </row>
    <row r="81" spans="1:10" ht="25.5" x14ac:dyDescent="0.2">
      <c r="A81" s="2">
        <v>79</v>
      </c>
      <c r="B81" s="3" t="s">
        <v>158</v>
      </c>
      <c r="C81" s="6" t="s">
        <v>159</v>
      </c>
      <c r="D81" s="26">
        <f>'Điểm bài tập'!D80</f>
        <v>1</v>
      </c>
      <c r="E81" s="25">
        <f>'Điểm danh'!D80</f>
        <v>0.5</v>
      </c>
      <c r="F81" s="35">
        <v>2.25</v>
      </c>
      <c r="G81" s="35">
        <f t="shared" si="5"/>
        <v>3.75</v>
      </c>
      <c r="H81" s="39">
        <f>'Điểm Ktra và điểm thi'!G80</f>
        <v>5.25</v>
      </c>
      <c r="I81" s="26">
        <f t="shared" si="4"/>
        <v>10</v>
      </c>
      <c r="J81" s="40">
        <f t="shared" si="6"/>
        <v>9</v>
      </c>
    </row>
    <row r="82" spans="1:10" ht="25.5" x14ac:dyDescent="0.2">
      <c r="A82" s="2">
        <v>80</v>
      </c>
      <c r="B82" s="3" t="s">
        <v>160</v>
      </c>
      <c r="C82" s="6" t="s">
        <v>161</v>
      </c>
      <c r="D82" s="26">
        <f>'Điểm bài tập'!D81</f>
        <v>1</v>
      </c>
      <c r="E82" s="25">
        <f>'Điểm danh'!D81</f>
        <v>0.5</v>
      </c>
      <c r="F82" s="35">
        <v>2.25</v>
      </c>
      <c r="G82" s="35">
        <f t="shared" si="5"/>
        <v>3.75</v>
      </c>
      <c r="H82" s="39">
        <f>'Điểm Ktra và điểm thi'!G81</f>
        <v>5.5</v>
      </c>
      <c r="I82" s="26">
        <f t="shared" si="4"/>
        <v>10</v>
      </c>
      <c r="J82" s="40">
        <f t="shared" si="6"/>
        <v>9.3000000000000007</v>
      </c>
    </row>
    <row r="83" spans="1:10" ht="25.5" x14ac:dyDescent="0.2">
      <c r="A83" s="2">
        <v>81</v>
      </c>
      <c r="B83" s="3" t="s">
        <v>162</v>
      </c>
      <c r="C83" s="6" t="s">
        <v>163</v>
      </c>
      <c r="D83" s="26">
        <f>'Điểm bài tập'!D82</f>
        <v>0.5</v>
      </c>
      <c r="E83" s="25">
        <f>'Điểm danh'!D82</f>
        <v>0.4</v>
      </c>
      <c r="F83" s="35">
        <v>1.75</v>
      </c>
      <c r="G83" s="35">
        <f t="shared" si="5"/>
        <v>2.65</v>
      </c>
      <c r="H83" s="39">
        <f>'Điểm Ktra và điểm thi'!G82</f>
        <v>4.5</v>
      </c>
      <c r="I83" s="26">
        <f t="shared" si="4"/>
        <v>9.3000000000000007</v>
      </c>
      <c r="J83" s="40">
        <f t="shared" si="6"/>
        <v>7.2</v>
      </c>
    </row>
    <row r="84" spans="1:10" ht="25.5" x14ac:dyDescent="0.2">
      <c r="A84" s="2">
        <v>82</v>
      </c>
      <c r="B84" s="3" t="s">
        <v>164</v>
      </c>
      <c r="C84" s="6" t="s">
        <v>165</v>
      </c>
      <c r="D84" s="26">
        <f>'Điểm bài tập'!D83</f>
        <v>0.5</v>
      </c>
      <c r="E84" s="25">
        <f>'Điểm danh'!D83</f>
        <v>0.5</v>
      </c>
      <c r="F84" s="35">
        <v>2.5</v>
      </c>
      <c r="G84" s="35">
        <f t="shared" si="5"/>
        <v>3.5</v>
      </c>
      <c r="H84" s="39">
        <f>'Điểm Ktra và điểm thi'!G83</f>
        <v>5.25</v>
      </c>
      <c r="I84" s="26">
        <f t="shared" si="4"/>
        <v>10</v>
      </c>
      <c r="J84" s="40">
        <f t="shared" si="6"/>
        <v>8.8000000000000007</v>
      </c>
    </row>
    <row r="85" spans="1:10" ht="25.5" x14ac:dyDescent="0.2">
      <c r="A85" s="2">
        <v>83</v>
      </c>
      <c r="B85" s="3" t="s">
        <v>166</v>
      </c>
      <c r="C85" s="6" t="s">
        <v>167</v>
      </c>
      <c r="D85" s="26">
        <f>'Điểm bài tập'!D84</f>
        <v>0</v>
      </c>
      <c r="E85" s="25">
        <f>'Điểm danh'!D84</f>
        <v>0.5</v>
      </c>
      <c r="F85" s="35">
        <v>2.25</v>
      </c>
      <c r="G85" s="35">
        <f t="shared" si="5"/>
        <v>2.75</v>
      </c>
      <c r="H85" s="39">
        <f>'Điểm Ktra và điểm thi'!G84</f>
        <v>5</v>
      </c>
      <c r="I85" s="26">
        <f t="shared" si="4"/>
        <v>10</v>
      </c>
      <c r="J85" s="40">
        <f t="shared" si="6"/>
        <v>7.8</v>
      </c>
    </row>
    <row r="86" spans="1:10" ht="25.5" x14ac:dyDescent="0.2">
      <c r="A86" s="2">
        <v>84</v>
      </c>
      <c r="B86" s="3" t="s">
        <v>168</v>
      </c>
      <c r="C86" s="6" t="s">
        <v>169</v>
      </c>
      <c r="D86" s="26">
        <f>'Điểm bài tập'!D85</f>
        <v>1</v>
      </c>
      <c r="E86" s="25">
        <f>'Điểm danh'!D85</f>
        <v>0.5</v>
      </c>
      <c r="F86" s="35">
        <v>1.75</v>
      </c>
      <c r="G86" s="35">
        <f t="shared" si="5"/>
        <v>3.25</v>
      </c>
      <c r="H86" s="39">
        <f>'Điểm Ktra và điểm thi'!G85</f>
        <v>5.25</v>
      </c>
      <c r="I86" s="26">
        <f t="shared" si="4"/>
        <v>10</v>
      </c>
      <c r="J86" s="40">
        <f t="shared" si="6"/>
        <v>8.5</v>
      </c>
    </row>
    <row r="87" spans="1:10" ht="25.5" x14ac:dyDescent="0.2">
      <c r="A87" s="2">
        <v>85</v>
      </c>
      <c r="B87" s="3" t="s">
        <v>170</v>
      </c>
      <c r="C87" s="6" t="s">
        <v>171</v>
      </c>
      <c r="D87" s="26">
        <f>'Điểm bài tập'!D86</f>
        <v>0</v>
      </c>
      <c r="E87" s="25">
        <f>'Điểm danh'!D86</f>
        <v>0.4</v>
      </c>
      <c r="F87" s="35">
        <v>2.25</v>
      </c>
      <c r="G87" s="35">
        <f t="shared" si="5"/>
        <v>2.65</v>
      </c>
      <c r="H87" s="39">
        <f>'Điểm Ktra và điểm thi'!G86</f>
        <v>4</v>
      </c>
      <c r="I87" s="26">
        <f t="shared" si="4"/>
        <v>9.3000000000000007</v>
      </c>
      <c r="J87" s="40">
        <f t="shared" si="6"/>
        <v>6.7</v>
      </c>
    </row>
    <row r="88" spans="1:10" ht="25.5" x14ac:dyDescent="0.2">
      <c r="A88" s="2">
        <v>86</v>
      </c>
      <c r="B88" s="3" t="s">
        <v>172</v>
      </c>
      <c r="C88" s="6" t="s">
        <v>173</v>
      </c>
      <c r="D88" s="26">
        <f>'Điểm bài tập'!D87</f>
        <v>0.5</v>
      </c>
      <c r="E88" s="25">
        <f>'Điểm danh'!D87</f>
        <v>0.4</v>
      </c>
      <c r="F88" s="35">
        <v>2.25</v>
      </c>
      <c r="G88" s="35">
        <f t="shared" si="5"/>
        <v>3.15</v>
      </c>
      <c r="H88" s="39">
        <f>'Điểm Ktra và điểm thi'!G87</f>
        <v>4.5</v>
      </c>
      <c r="I88" s="26">
        <f t="shared" si="4"/>
        <v>10</v>
      </c>
      <c r="J88" s="40">
        <f t="shared" si="6"/>
        <v>7.7</v>
      </c>
    </row>
    <row r="89" spans="1:10" ht="25.5" x14ac:dyDescent="0.2">
      <c r="A89" s="2">
        <v>87</v>
      </c>
      <c r="B89" s="3" t="s">
        <v>174</v>
      </c>
      <c r="C89" s="6" t="s">
        <v>175</v>
      </c>
      <c r="D89" s="26">
        <f>'Điểm bài tập'!D88</f>
        <v>0</v>
      </c>
      <c r="E89" s="25">
        <f>'Điểm danh'!D88</f>
        <v>0.5</v>
      </c>
      <c r="F89" s="35">
        <v>2.75</v>
      </c>
      <c r="G89" s="35">
        <f t="shared" si="5"/>
        <v>3.25</v>
      </c>
      <c r="H89" s="39">
        <f>'Điểm Ktra và điểm thi'!G88</f>
        <v>5.5</v>
      </c>
      <c r="I89" s="26">
        <f t="shared" si="4"/>
        <v>10</v>
      </c>
      <c r="J89" s="40">
        <f t="shared" si="6"/>
        <v>8.8000000000000007</v>
      </c>
    </row>
    <row r="90" spans="1:10" ht="25.5" x14ac:dyDescent="0.2">
      <c r="A90" s="2">
        <v>88</v>
      </c>
      <c r="B90" s="3" t="s">
        <v>176</v>
      </c>
      <c r="C90" s="6" t="s">
        <v>177</v>
      </c>
      <c r="D90" s="26">
        <f>'Điểm bài tập'!D89</f>
        <v>1</v>
      </c>
      <c r="E90" s="25">
        <f>'Điểm danh'!D89</f>
        <v>0.5</v>
      </c>
      <c r="F90" s="35">
        <v>2.5</v>
      </c>
      <c r="G90" s="35">
        <f t="shared" si="5"/>
        <v>4</v>
      </c>
      <c r="H90" s="39">
        <f>'Điểm Ktra và điểm thi'!G89</f>
        <v>6</v>
      </c>
      <c r="I90" s="26">
        <f t="shared" si="4"/>
        <v>10</v>
      </c>
      <c r="J90" s="40">
        <f t="shared" si="6"/>
        <v>10</v>
      </c>
    </row>
    <row r="91" spans="1:10" ht="25.5" x14ac:dyDescent="0.2">
      <c r="A91" s="2">
        <v>89</v>
      </c>
      <c r="B91" s="3" t="s">
        <v>178</v>
      </c>
      <c r="C91" s="6" t="s">
        <v>179</v>
      </c>
      <c r="D91" s="26">
        <f>'Điểm bài tập'!D90</f>
        <v>1</v>
      </c>
      <c r="E91" s="25">
        <f>'Điểm danh'!D90</f>
        <v>0.5</v>
      </c>
      <c r="F91" s="35">
        <v>2.25</v>
      </c>
      <c r="G91" s="35">
        <f t="shared" si="5"/>
        <v>3.75</v>
      </c>
      <c r="H91" s="39">
        <f>'Điểm Ktra và điểm thi'!G90</f>
        <v>4.75</v>
      </c>
      <c r="I91" s="26">
        <f t="shared" si="4"/>
        <v>10</v>
      </c>
      <c r="J91" s="40">
        <f t="shared" si="6"/>
        <v>8.5</v>
      </c>
    </row>
    <row r="92" spans="1:10" ht="25.5" x14ac:dyDescent="0.2">
      <c r="A92" s="2">
        <v>90</v>
      </c>
      <c r="B92" s="3" t="s">
        <v>180</v>
      </c>
      <c r="C92" s="6" t="s">
        <v>181</v>
      </c>
      <c r="D92" s="26">
        <f>'Điểm bài tập'!D91</f>
        <v>0</v>
      </c>
      <c r="E92" s="25">
        <f>'Điểm danh'!D91</f>
        <v>0.5</v>
      </c>
      <c r="F92" s="35">
        <v>1.75</v>
      </c>
      <c r="G92" s="35">
        <f t="shared" si="5"/>
        <v>2.25</v>
      </c>
      <c r="H92" s="39">
        <f>'Điểm Ktra và điểm thi'!G91</f>
        <v>5.75</v>
      </c>
      <c r="I92" s="26">
        <f t="shared" si="4"/>
        <v>10</v>
      </c>
      <c r="J92" s="40">
        <f t="shared" si="6"/>
        <v>8</v>
      </c>
    </row>
    <row r="93" spans="1:10" ht="25.5" x14ac:dyDescent="0.2">
      <c r="A93" s="2">
        <v>91</v>
      </c>
      <c r="B93" s="3" t="s">
        <v>182</v>
      </c>
      <c r="C93" s="6" t="s">
        <v>183</v>
      </c>
      <c r="D93" s="26">
        <f>'Điểm bài tập'!D92</f>
        <v>1</v>
      </c>
      <c r="E93" s="25">
        <f>'Điểm danh'!D92</f>
        <v>0.5</v>
      </c>
      <c r="F93" s="35">
        <v>1.25</v>
      </c>
      <c r="G93" s="35">
        <f t="shared" si="5"/>
        <v>2.75</v>
      </c>
      <c r="H93" s="39">
        <f>'Điểm Ktra và điểm thi'!G92</f>
        <v>5.25</v>
      </c>
      <c r="I93" s="26">
        <f t="shared" si="4"/>
        <v>9.75</v>
      </c>
      <c r="J93" s="40">
        <f t="shared" si="6"/>
        <v>8</v>
      </c>
    </row>
    <row r="94" spans="1:10" ht="25.5" x14ac:dyDescent="0.2">
      <c r="A94" s="2">
        <v>92</v>
      </c>
      <c r="B94" s="3" t="s">
        <v>184</v>
      </c>
      <c r="C94" s="6" t="s">
        <v>185</v>
      </c>
      <c r="D94" s="26">
        <f>'Điểm bài tập'!D93</f>
        <v>0.5</v>
      </c>
      <c r="E94" s="25">
        <f>'Điểm danh'!D93</f>
        <v>0.5</v>
      </c>
      <c r="F94" s="35">
        <v>3</v>
      </c>
      <c r="G94" s="35">
        <f t="shared" si="5"/>
        <v>4</v>
      </c>
      <c r="H94" s="39">
        <f>'Điểm Ktra và điểm thi'!G93</f>
        <v>5.5</v>
      </c>
      <c r="I94" s="26">
        <f t="shared" si="4"/>
        <v>10</v>
      </c>
      <c r="J94" s="40">
        <f t="shared" si="6"/>
        <v>9.5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D1:G1"/>
    <mergeCell ref="H1:H2"/>
    <mergeCell ref="J1:J2"/>
    <mergeCell ref="A1:A2"/>
    <mergeCell ref="B1:B2"/>
    <mergeCell ref="C1:C2"/>
  </mergeCells>
  <conditionalFormatting sqref="J3:J94">
    <cfRule type="colorScale" priority="1">
      <colorScale>
        <cfvo type="min"/>
        <cfvo type="percentile" val="50"/>
        <cfvo type="num" val="10"/>
        <color rgb="FFF8696B"/>
        <color rgb="FFFFEB84"/>
        <color rgb="FF63BE7B"/>
      </colorScale>
    </cfRule>
  </conditionalFormatting>
  <printOptions horizontalCentered="1"/>
  <pageMargins left="0" right="0" top="0" bottom="0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0189-A1A3-4FF0-9993-C6BC7F7EAA21}">
  <dimension ref="A1:K93"/>
  <sheetViews>
    <sheetView zoomScale="125" workbookViewId="0">
      <selection activeCell="G2" sqref="G2:G93"/>
    </sheetView>
  </sheetViews>
  <sheetFormatPr defaultColWidth="8" defaultRowHeight="12.75" x14ac:dyDescent="0.2"/>
  <cols>
    <col min="1" max="1" width="10" customWidth="1"/>
    <col min="2" max="2" width="18" customWidth="1"/>
    <col min="3" max="3" width="21" bestFit="1" customWidth="1"/>
    <col min="4" max="5" width="8" customWidth="1"/>
  </cols>
  <sheetData>
    <row r="1" spans="1:11" ht="25.5" x14ac:dyDescent="0.2">
      <c r="A1" s="1" t="s">
        <v>0</v>
      </c>
      <c r="B1" s="1" t="s">
        <v>1</v>
      </c>
      <c r="C1" s="1" t="s">
        <v>2</v>
      </c>
      <c r="D1" s="5" t="s">
        <v>187</v>
      </c>
      <c r="E1" s="5" t="s">
        <v>188</v>
      </c>
      <c r="F1" s="38" t="s">
        <v>187</v>
      </c>
      <c r="G1" s="38" t="s">
        <v>188</v>
      </c>
    </row>
    <row r="2" spans="1:11" x14ac:dyDescent="0.2">
      <c r="A2" s="2">
        <v>1</v>
      </c>
      <c r="B2" s="3" t="s">
        <v>3</v>
      </c>
      <c r="C2" s="3" t="s">
        <v>4</v>
      </c>
      <c r="D2">
        <v>4</v>
      </c>
      <c r="E2" s="13">
        <v>1</v>
      </c>
      <c r="F2">
        <v>12</v>
      </c>
      <c r="G2" s="42">
        <f>F2/4</f>
        <v>3</v>
      </c>
    </row>
    <row r="3" spans="1:11" x14ac:dyDescent="0.2">
      <c r="A3" s="2">
        <v>2</v>
      </c>
      <c r="B3" s="3" t="s">
        <v>5</v>
      </c>
      <c r="C3" s="3" t="s">
        <v>6</v>
      </c>
      <c r="D3" s="4">
        <v>8</v>
      </c>
      <c r="E3" s="13">
        <v>2</v>
      </c>
      <c r="F3">
        <v>21</v>
      </c>
      <c r="G3" s="42">
        <f t="shared" ref="G3:G66" si="0">F3/4</f>
        <v>5.25</v>
      </c>
    </row>
    <row r="4" spans="1:11" x14ac:dyDescent="0.2">
      <c r="A4" s="2">
        <v>3</v>
      </c>
      <c r="B4" s="3" t="s">
        <v>7</v>
      </c>
      <c r="C4" s="3" t="s">
        <v>8</v>
      </c>
      <c r="D4" s="4">
        <v>9</v>
      </c>
      <c r="E4" s="13">
        <v>2.25</v>
      </c>
      <c r="F4">
        <v>19</v>
      </c>
      <c r="G4" s="42">
        <f t="shared" si="0"/>
        <v>4.75</v>
      </c>
    </row>
    <row r="5" spans="1:11" x14ac:dyDescent="0.2">
      <c r="A5" s="2">
        <v>4</v>
      </c>
      <c r="B5" s="3" t="s">
        <v>9</v>
      </c>
      <c r="C5" s="3" t="s">
        <v>10</v>
      </c>
      <c r="D5" s="4">
        <v>10</v>
      </c>
      <c r="E5" s="13">
        <v>2.5</v>
      </c>
      <c r="F5">
        <v>19</v>
      </c>
      <c r="G5" s="42">
        <f t="shared" si="0"/>
        <v>4.75</v>
      </c>
    </row>
    <row r="6" spans="1:11" x14ac:dyDescent="0.2">
      <c r="A6" s="2">
        <v>5</v>
      </c>
      <c r="B6" s="3" t="s">
        <v>11</v>
      </c>
      <c r="C6" s="3" t="s">
        <v>12</v>
      </c>
      <c r="D6" s="4">
        <v>11</v>
      </c>
      <c r="E6" s="13">
        <v>2.75</v>
      </c>
      <c r="F6">
        <v>22</v>
      </c>
      <c r="G6" s="42">
        <f t="shared" si="0"/>
        <v>5.5</v>
      </c>
    </row>
    <row r="7" spans="1:11" x14ac:dyDescent="0.2">
      <c r="A7" s="2">
        <v>6</v>
      </c>
      <c r="B7" s="3" t="s">
        <v>13</v>
      </c>
      <c r="C7" s="3" t="s">
        <v>14</v>
      </c>
      <c r="D7" s="4">
        <v>10</v>
      </c>
      <c r="E7" s="13">
        <v>2.5</v>
      </c>
      <c r="F7">
        <v>22</v>
      </c>
      <c r="G7" s="42">
        <f t="shared" si="0"/>
        <v>5.5</v>
      </c>
    </row>
    <row r="8" spans="1:11" x14ac:dyDescent="0.2">
      <c r="A8" s="2">
        <v>7</v>
      </c>
      <c r="B8" s="3" t="s">
        <v>15</v>
      </c>
      <c r="C8" s="3" t="s">
        <v>16</v>
      </c>
      <c r="D8" s="4">
        <v>8</v>
      </c>
      <c r="E8" s="13">
        <v>2</v>
      </c>
      <c r="F8">
        <v>22</v>
      </c>
      <c r="G8" s="42">
        <f t="shared" si="0"/>
        <v>5.5</v>
      </c>
      <c r="K8">
        <f>COUNTIF(G2:G93, "&gt; 9")</f>
        <v>1</v>
      </c>
    </row>
    <row r="9" spans="1:11" x14ac:dyDescent="0.2">
      <c r="A9" s="2">
        <v>8</v>
      </c>
      <c r="B9" s="3" t="s">
        <v>17</v>
      </c>
      <c r="C9" s="3" t="s">
        <v>18</v>
      </c>
      <c r="D9" s="4">
        <v>10</v>
      </c>
      <c r="E9" s="13">
        <v>2.5</v>
      </c>
      <c r="F9">
        <v>21</v>
      </c>
      <c r="G9" s="42">
        <f t="shared" si="0"/>
        <v>5.25</v>
      </c>
    </row>
    <row r="10" spans="1:11" x14ac:dyDescent="0.2">
      <c r="A10" s="2">
        <v>9</v>
      </c>
      <c r="B10" s="3" t="s">
        <v>19</v>
      </c>
      <c r="C10" s="3" t="s">
        <v>20</v>
      </c>
      <c r="D10" s="4">
        <v>11</v>
      </c>
      <c r="E10" s="13">
        <v>2.75</v>
      </c>
      <c r="F10">
        <v>15</v>
      </c>
      <c r="G10" s="42">
        <f t="shared" si="0"/>
        <v>3.75</v>
      </c>
    </row>
    <row r="11" spans="1:11" x14ac:dyDescent="0.2">
      <c r="A11" s="2">
        <v>10</v>
      </c>
      <c r="B11" s="3" t="s">
        <v>21</v>
      </c>
      <c r="C11" s="3" t="s">
        <v>22</v>
      </c>
      <c r="D11" s="4">
        <v>8</v>
      </c>
      <c r="E11" s="13">
        <v>2</v>
      </c>
      <c r="F11">
        <v>17</v>
      </c>
      <c r="G11" s="42">
        <f t="shared" si="0"/>
        <v>4.25</v>
      </c>
    </row>
    <row r="12" spans="1:11" x14ac:dyDescent="0.2">
      <c r="A12" s="2">
        <v>11</v>
      </c>
      <c r="B12" s="3" t="s">
        <v>23</v>
      </c>
      <c r="C12" s="3" t="s">
        <v>24</v>
      </c>
      <c r="D12" s="4">
        <v>8</v>
      </c>
      <c r="E12" s="13">
        <v>2</v>
      </c>
      <c r="F12">
        <v>24</v>
      </c>
      <c r="G12" s="42">
        <f t="shared" si="0"/>
        <v>6</v>
      </c>
    </row>
    <row r="13" spans="1:11" x14ac:dyDescent="0.2">
      <c r="A13" s="2">
        <v>12</v>
      </c>
      <c r="B13" s="3" t="s">
        <v>25</v>
      </c>
      <c r="C13" s="3" t="s">
        <v>26</v>
      </c>
      <c r="D13" s="4">
        <v>7</v>
      </c>
      <c r="E13" s="13">
        <v>1.75</v>
      </c>
      <c r="F13">
        <v>23</v>
      </c>
      <c r="G13" s="42">
        <f t="shared" si="0"/>
        <v>5.75</v>
      </c>
    </row>
    <row r="14" spans="1:11" x14ac:dyDescent="0.2">
      <c r="A14" s="2">
        <v>13</v>
      </c>
      <c r="B14" s="3" t="s">
        <v>27</v>
      </c>
      <c r="C14" s="3" t="s">
        <v>28</v>
      </c>
      <c r="D14" s="4">
        <v>11</v>
      </c>
      <c r="E14" s="13">
        <v>2.75</v>
      </c>
      <c r="F14">
        <v>22</v>
      </c>
      <c r="G14" s="42">
        <f t="shared" si="0"/>
        <v>5.5</v>
      </c>
    </row>
    <row r="15" spans="1:11" x14ac:dyDescent="0.2">
      <c r="A15" s="2">
        <v>14</v>
      </c>
      <c r="B15" s="3" t="s">
        <v>29</v>
      </c>
      <c r="C15" s="3" t="s">
        <v>30</v>
      </c>
      <c r="D15" s="4">
        <v>10</v>
      </c>
      <c r="E15" s="13">
        <v>2.5</v>
      </c>
      <c r="F15">
        <v>23</v>
      </c>
      <c r="G15" s="42">
        <f t="shared" si="0"/>
        <v>5.75</v>
      </c>
    </row>
    <row r="16" spans="1:11" x14ac:dyDescent="0.2">
      <c r="A16" s="2">
        <v>15</v>
      </c>
      <c r="B16" s="3" t="s">
        <v>31</v>
      </c>
      <c r="C16" s="3" t="s">
        <v>32</v>
      </c>
      <c r="D16" s="4">
        <v>4</v>
      </c>
      <c r="E16" s="13">
        <v>1</v>
      </c>
      <c r="F16">
        <v>16</v>
      </c>
      <c r="G16" s="42">
        <f t="shared" si="0"/>
        <v>4</v>
      </c>
    </row>
    <row r="17" spans="1:9" ht="25.5" x14ac:dyDescent="0.2">
      <c r="A17" s="2">
        <v>16</v>
      </c>
      <c r="B17" s="3" t="s">
        <v>33</v>
      </c>
      <c r="C17" s="3" t="s">
        <v>34</v>
      </c>
      <c r="D17" s="4">
        <v>11</v>
      </c>
      <c r="E17" s="13">
        <v>2.75</v>
      </c>
      <c r="F17">
        <v>22</v>
      </c>
      <c r="G17" s="42">
        <f t="shared" si="0"/>
        <v>5.5</v>
      </c>
    </row>
    <row r="18" spans="1:9" x14ac:dyDescent="0.2">
      <c r="A18" s="2">
        <v>17</v>
      </c>
      <c r="B18" s="3" t="s">
        <v>35</v>
      </c>
      <c r="C18" s="3" t="s">
        <v>36</v>
      </c>
      <c r="D18" s="4">
        <v>11</v>
      </c>
      <c r="E18" s="13">
        <v>2.75</v>
      </c>
      <c r="F18">
        <v>24</v>
      </c>
      <c r="G18" s="42">
        <f t="shared" si="0"/>
        <v>6</v>
      </c>
    </row>
    <row r="19" spans="1:9" x14ac:dyDescent="0.2">
      <c r="A19" s="2">
        <v>18</v>
      </c>
      <c r="B19" s="3" t="s">
        <v>37</v>
      </c>
      <c r="C19" s="3" t="s">
        <v>38</v>
      </c>
      <c r="D19" s="4">
        <v>8</v>
      </c>
      <c r="E19" s="13">
        <v>2</v>
      </c>
      <c r="F19">
        <v>10</v>
      </c>
      <c r="G19" s="42">
        <f t="shared" si="0"/>
        <v>2.5</v>
      </c>
    </row>
    <row r="20" spans="1:9" ht="25.5" x14ac:dyDescent="0.2">
      <c r="A20" s="2">
        <v>19</v>
      </c>
      <c r="B20" s="3" t="s">
        <v>39</v>
      </c>
      <c r="C20" s="3" t="s">
        <v>40</v>
      </c>
      <c r="D20" s="4">
        <v>7</v>
      </c>
      <c r="E20" s="13">
        <v>1.75</v>
      </c>
      <c r="F20">
        <v>21</v>
      </c>
      <c r="G20" s="42">
        <f t="shared" si="0"/>
        <v>5.25</v>
      </c>
    </row>
    <row r="21" spans="1:9" ht="25.5" x14ac:dyDescent="0.2">
      <c r="A21" s="2">
        <v>20</v>
      </c>
      <c r="B21" s="3" t="s">
        <v>41</v>
      </c>
      <c r="C21" s="3" t="s">
        <v>42</v>
      </c>
      <c r="D21" s="4">
        <v>5</v>
      </c>
      <c r="E21" s="13">
        <v>1.25</v>
      </c>
      <c r="F21">
        <v>10</v>
      </c>
      <c r="G21" s="42">
        <f t="shared" si="0"/>
        <v>2.5</v>
      </c>
    </row>
    <row r="22" spans="1:9" x14ac:dyDescent="0.2">
      <c r="A22" s="2">
        <v>21</v>
      </c>
      <c r="B22" s="3" t="s">
        <v>43</v>
      </c>
      <c r="C22" s="3" t="s">
        <v>44</v>
      </c>
      <c r="D22" s="4">
        <v>8</v>
      </c>
      <c r="E22" s="13">
        <v>2</v>
      </c>
      <c r="F22">
        <v>21</v>
      </c>
      <c r="G22" s="42">
        <f t="shared" si="0"/>
        <v>5.25</v>
      </c>
    </row>
    <row r="23" spans="1:9" x14ac:dyDescent="0.2">
      <c r="A23" s="2">
        <v>22</v>
      </c>
      <c r="B23" s="3" t="s">
        <v>45</v>
      </c>
      <c r="C23" s="3" t="s">
        <v>46</v>
      </c>
      <c r="D23">
        <v>9</v>
      </c>
      <c r="E23" s="13">
        <v>2.25</v>
      </c>
      <c r="F23">
        <v>18</v>
      </c>
      <c r="G23" s="42">
        <f t="shared" si="0"/>
        <v>4.5</v>
      </c>
    </row>
    <row r="24" spans="1:9" x14ac:dyDescent="0.2">
      <c r="A24" s="2">
        <v>23</v>
      </c>
      <c r="B24" s="3" t="s">
        <v>47</v>
      </c>
      <c r="C24" s="3" t="s">
        <v>48</v>
      </c>
      <c r="D24" s="4">
        <v>6</v>
      </c>
      <c r="E24" s="13">
        <v>1.5</v>
      </c>
      <c r="F24">
        <v>18</v>
      </c>
      <c r="G24" s="42">
        <f t="shared" si="0"/>
        <v>4.5</v>
      </c>
    </row>
    <row r="25" spans="1:9" x14ac:dyDescent="0.2">
      <c r="A25" s="2">
        <v>24</v>
      </c>
      <c r="B25" s="3" t="s">
        <v>49</v>
      </c>
      <c r="C25" s="3" t="s">
        <v>50</v>
      </c>
      <c r="D25" s="4">
        <v>5</v>
      </c>
      <c r="E25" s="13">
        <v>1.25</v>
      </c>
      <c r="F25">
        <v>16</v>
      </c>
      <c r="G25" s="42">
        <f t="shared" si="0"/>
        <v>4</v>
      </c>
    </row>
    <row r="26" spans="1:9" x14ac:dyDescent="0.2">
      <c r="A26" s="2">
        <v>25</v>
      </c>
      <c r="B26" s="3" t="s">
        <v>51</v>
      </c>
      <c r="C26" s="3" t="s">
        <v>52</v>
      </c>
      <c r="D26" s="4">
        <v>5</v>
      </c>
      <c r="E26" s="13">
        <v>1.25</v>
      </c>
      <c r="F26">
        <v>5</v>
      </c>
      <c r="G26" s="42">
        <f t="shared" si="0"/>
        <v>1.25</v>
      </c>
    </row>
    <row r="27" spans="1:9" ht="25.5" x14ac:dyDescent="0.2">
      <c r="A27" s="2">
        <v>26</v>
      </c>
      <c r="B27" s="3" t="s">
        <v>53</v>
      </c>
      <c r="C27" s="3" t="s">
        <v>54</v>
      </c>
      <c r="D27" s="4">
        <v>8</v>
      </c>
      <c r="E27" s="13">
        <v>2</v>
      </c>
      <c r="F27">
        <v>14</v>
      </c>
      <c r="G27" s="42">
        <f t="shared" si="0"/>
        <v>3.5</v>
      </c>
    </row>
    <row r="28" spans="1:9" x14ac:dyDescent="0.2">
      <c r="A28" s="2">
        <v>27</v>
      </c>
      <c r="B28" s="3" t="s">
        <v>55</v>
      </c>
      <c r="C28" s="3" t="s">
        <v>56</v>
      </c>
      <c r="D28">
        <v>5</v>
      </c>
      <c r="E28" s="13">
        <v>1.25</v>
      </c>
      <c r="F28">
        <v>13</v>
      </c>
      <c r="G28" s="42">
        <f t="shared" si="0"/>
        <v>3.25</v>
      </c>
    </row>
    <row r="29" spans="1:9" ht="25.5" x14ac:dyDescent="0.2">
      <c r="A29" s="2">
        <v>28</v>
      </c>
      <c r="B29" s="3" t="s">
        <v>57</v>
      </c>
      <c r="C29" s="3" t="s">
        <v>58</v>
      </c>
      <c r="D29" s="4">
        <v>10</v>
      </c>
      <c r="E29" s="13">
        <v>2.5</v>
      </c>
      <c r="F29">
        <v>21</v>
      </c>
      <c r="G29" s="42">
        <f t="shared" si="0"/>
        <v>5.25</v>
      </c>
    </row>
    <row r="30" spans="1:9" ht="25.5" x14ac:dyDescent="0.2">
      <c r="A30" s="2">
        <v>29</v>
      </c>
      <c r="B30" s="3" t="s">
        <v>59</v>
      </c>
      <c r="C30" s="3" t="s">
        <v>60</v>
      </c>
      <c r="D30" s="4">
        <v>4</v>
      </c>
      <c r="E30" s="13">
        <v>1</v>
      </c>
      <c r="F30">
        <v>16</v>
      </c>
      <c r="G30" s="42">
        <f t="shared" si="0"/>
        <v>4</v>
      </c>
    </row>
    <row r="31" spans="1:9" x14ac:dyDescent="0.2">
      <c r="A31" s="2">
        <v>30</v>
      </c>
      <c r="B31" s="3" t="s">
        <v>61</v>
      </c>
      <c r="C31" s="3" t="s">
        <v>62</v>
      </c>
      <c r="D31" s="4">
        <v>3</v>
      </c>
      <c r="E31" s="13">
        <v>0.75</v>
      </c>
      <c r="F31">
        <v>18</v>
      </c>
      <c r="G31" s="42">
        <f t="shared" si="0"/>
        <v>4.5</v>
      </c>
    </row>
    <row r="32" spans="1:9" x14ac:dyDescent="0.2">
      <c r="A32" s="10">
        <v>31</v>
      </c>
      <c r="B32" s="11" t="s">
        <v>63</v>
      </c>
      <c r="C32" s="11" t="s">
        <v>64</v>
      </c>
      <c r="D32" s="4"/>
      <c r="E32" s="13">
        <v>0</v>
      </c>
      <c r="F32">
        <v>15</v>
      </c>
      <c r="G32" s="42">
        <f t="shared" si="0"/>
        <v>3.75</v>
      </c>
      <c r="H32" s="12"/>
      <c r="I32" s="12"/>
    </row>
    <row r="33" spans="1:7" x14ac:dyDescent="0.2">
      <c r="A33" s="2">
        <v>32</v>
      </c>
      <c r="B33" s="3" t="s">
        <v>65</v>
      </c>
      <c r="C33" s="3" t="s">
        <v>66</v>
      </c>
      <c r="D33" s="4">
        <v>12</v>
      </c>
      <c r="E33" s="13">
        <v>3</v>
      </c>
      <c r="F33">
        <v>24</v>
      </c>
      <c r="G33" s="42">
        <f t="shared" si="0"/>
        <v>6</v>
      </c>
    </row>
    <row r="34" spans="1:7" x14ac:dyDescent="0.2">
      <c r="A34" s="2">
        <v>33</v>
      </c>
      <c r="B34" s="3" t="s">
        <v>67</v>
      </c>
      <c r="C34" s="3" t="s">
        <v>68</v>
      </c>
      <c r="D34" s="4">
        <v>5</v>
      </c>
      <c r="E34" s="13">
        <v>1.25</v>
      </c>
      <c r="F34">
        <v>12</v>
      </c>
      <c r="G34" s="42">
        <f t="shared" si="0"/>
        <v>3</v>
      </c>
    </row>
    <row r="35" spans="1:7" x14ac:dyDescent="0.2">
      <c r="A35" s="2">
        <v>34</v>
      </c>
      <c r="B35" s="3" t="s">
        <v>69</v>
      </c>
      <c r="C35" s="3" t="s">
        <v>70</v>
      </c>
      <c r="D35" s="4">
        <v>7</v>
      </c>
      <c r="E35" s="13">
        <v>1.75</v>
      </c>
      <c r="F35">
        <v>10</v>
      </c>
      <c r="G35" s="42">
        <f t="shared" si="0"/>
        <v>2.5</v>
      </c>
    </row>
    <row r="36" spans="1:7" ht="25.5" x14ac:dyDescent="0.2">
      <c r="A36" s="2">
        <v>35</v>
      </c>
      <c r="B36" s="3" t="s">
        <v>71</v>
      </c>
      <c r="C36" s="3" t="s">
        <v>72</v>
      </c>
      <c r="D36" s="4">
        <v>8</v>
      </c>
      <c r="E36" s="13">
        <v>2</v>
      </c>
      <c r="F36">
        <v>22</v>
      </c>
      <c r="G36" s="42">
        <f t="shared" si="0"/>
        <v>5.5</v>
      </c>
    </row>
    <row r="37" spans="1:7" x14ac:dyDescent="0.2">
      <c r="A37" s="2">
        <v>36</v>
      </c>
      <c r="B37" s="3" t="s">
        <v>73</v>
      </c>
      <c r="C37" s="3" t="s">
        <v>74</v>
      </c>
      <c r="D37">
        <v>8</v>
      </c>
      <c r="E37" s="13">
        <v>2</v>
      </c>
      <c r="F37">
        <v>20</v>
      </c>
      <c r="G37" s="42">
        <f t="shared" si="0"/>
        <v>5</v>
      </c>
    </row>
    <row r="38" spans="1:7" x14ac:dyDescent="0.2">
      <c r="A38" s="2">
        <v>37</v>
      </c>
      <c r="B38" s="3" t="s">
        <v>75</v>
      </c>
      <c r="C38" s="3" t="s">
        <v>76</v>
      </c>
      <c r="D38" s="4">
        <v>4</v>
      </c>
      <c r="E38" s="13">
        <v>1</v>
      </c>
      <c r="F38">
        <v>15</v>
      </c>
      <c r="G38" s="42">
        <f t="shared" si="0"/>
        <v>3.75</v>
      </c>
    </row>
    <row r="39" spans="1:7" ht="25.5" x14ac:dyDescent="0.2">
      <c r="A39" s="2">
        <v>38</v>
      </c>
      <c r="B39" s="3" t="s">
        <v>77</v>
      </c>
      <c r="C39" s="3" t="s">
        <v>78</v>
      </c>
      <c r="D39" s="4">
        <v>7</v>
      </c>
      <c r="E39" s="13">
        <v>1.75</v>
      </c>
      <c r="F39">
        <v>23</v>
      </c>
      <c r="G39" s="42">
        <f t="shared" si="0"/>
        <v>5.75</v>
      </c>
    </row>
    <row r="40" spans="1:7" x14ac:dyDescent="0.2">
      <c r="A40" s="2">
        <v>39</v>
      </c>
      <c r="B40" s="3" t="s">
        <v>79</v>
      </c>
      <c r="C40" s="3" t="s">
        <v>80</v>
      </c>
      <c r="D40">
        <v>4</v>
      </c>
      <c r="E40" s="13">
        <v>1</v>
      </c>
      <c r="F40">
        <v>23</v>
      </c>
      <c r="G40" s="42">
        <f t="shared" si="0"/>
        <v>5.75</v>
      </c>
    </row>
    <row r="41" spans="1:7" x14ac:dyDescent="0.2">
      <c r="A41" s="2">
        <v>40</v>
      </c>
      <c r="B41" s="3" t="s">
        <v>81</v>
      </c>
      <c r="C41" s="3" t="s">
        <v>82</v>
      </c>
      <c r="D41" s="4">
        <v>10</v>
      </c>
      <c r="E41" s="13">
        <v>2.5</v>
      </c>
      <c r="F41">
        <v>21</v>
      </c>
      <c r="G41" s="42">
        <f t="shared" si="0"/>
        <v>5.25</v>
      </c>
    </row>
    <row r="42" spans="1:7" x14ac:dyDescent="0.2">
      <c r="A42" s="2">
        <v>41</v>
      </c>
      <c r="B42" s="3" t="s">
        <v>83</v>
      </c>
      <c r="C42" s="3" t="s">
        <v>84</v>
      </c>
      <c r="D42" s="4">
        <v>4</v>
      </c>
      <c r="E42" s="13">
        <v>1</v>
      </c>
      <c r="F42">
        <v>23</v>
      </c>
      <c r="G42" s="42">
        <f t="shared" si="0"/>
        <v>5.75</v>
      </c>
    </row>
    <row r="43" spans="1:7" x14ac:dyDescent="0.2">
      <c r="A43" s="2">
        <v>42</v>
      </c>
      <c r="B43" s="3" t="s">
        <v>85</v>
      </c>
      <c r="C43" s="3" t="s">
        <v>86</v>
      </c>
      <c r="D43" s="4">
        <v>5</v>
      </c>
      <c r="E43" s="13">
        <v>1.25</v>
      </c>
      <c r="F43">
        <v>15</v>
      </c>
      <c r="G43" s="42">
        <f t="shared" si="0"/>
        <v>3.75</v>
      </c>
    </row>
    <row r="44" spans="1:7" x14ac:dyDescent="0.2">
      <c r="A44" s="2">
        <v>43</v>
      </c>
      <c r="B44" s="3" t="s">
        <v>87</v>
      </c>
      <c r="C44" s="3" t="s">
        <v>88</v>
      </c>
      <c r="D44" s="4">
        <v>10</v>
      </c>
      <c r="E44" s="13">
        <v>2.5</v>
      </c>
      <c r="F44">
        <v>22</v>
      </c>
      <c r="G44" s="42">
        <f t="shared" si="0"/>
        <v>5.5</v>
      </c>
    </row>
    <row r="45" spans="1:7" x14ac:dyDescent="0.2">
      <c r="A45" s="2">
        <v>44</v>
      </c>
      <c r="B45" s="3" t="s">
        <v>89</v>
      </c>
      <c r="C45" s="3" t="s">
        <v>90</v>
      </c>
      <c r="D45" s="4">
        <v>10</v>
      </c>
      <c r="E45" s="13">
        <v>2.5</v>
      </c>
      <c r="F45">
        <v>23</v>
      </c>
      <c r="G45" s="42">
        <f t="shared" si="0"/>
        <v>5.75</v>
      </c>
    </row>
    <row r="46" spans="1:7" x14ac:dyDescent="0.2">
      <c r="A46" s="2">
        <v>45</v>
      </c>
      <c r="B46" s="3" t="s">
        <v>91</v>
      </c>
      <c r="C46" s="3" t="s">
        <v>92</v>
      </c>
      <c r="D46" s="4">
        <v>9</v>
      </c>
      <c r="E46" s="13">
        <v>2.25</v>
      </c>
      <c r="F46">
        <v>22</v>
      </c>
      <c r="G46" s="42">
        <f t="shared" si="0"/>
        <v>5.5</v>
      </c>
    </row>
    <row r="47" spans="1:7" x14ac:dyDescent="0.2">
      <c r="A47" s="2">
        <v>46</v>
      </c>
      <c r="B47" s="3" t="s">
        <v>93</v>
      </c>
      <c r="C47" s="3" t="s">
        <v>94</v>
      </c>
      <c r="D47">
        <v>8</v>
      </c>
      <c r="E47" s="13">
        <v>2</v>
      </c>
      <c r="F47">
        <v>5</v>
      </c>
      <c r="G47" s="42">
        <f t="shared" si="0"/>
        <v>1.25</v>
      </c>
    </row>
    <row r="48" spans="1:7" x14ac:dyDescent="0.2">
      <c r="A48" s="2">
        <v>47</v>
      </c>
      <c r="B48" s="3" t="s">
        <v>95</v>
      </c>
      <c r="C48" s="3" t="s">
        <v>96</v>
      </c>
      <c r="D48" s="4">
        <v>9</v>
      </c>
      <c r="E48" s="13">
        <v>2.25</v>
      </c>
      <c r="F48">
        <v>23</v>
      </c>
      <c r="G48" s="42">
        <f t="shared" si="0"/>
        <v>5.75</v>
      </c>
    </row>
    <row r="49" spans="1:7" x14ac:dyDescent="0.2">
      <c r="A49" s="2">
        <v>48</v>
      </c>
      <c r="B49" s="3" t="s">
        <v>97</v>
      </c>
      <c r="C49" s="3" t="s">
        <v>98</v>
      </c>
      <c r="D49" s="4">
        <v>11</v>
      </c>
      <c r="E49" s="13">
        <v>2.75</v>
      </c>
      <c r="F49">
        <v>22</v>
      </c>
      <c r="G49" s="42">
        <f t="shared" si="0"/>
        <v>5.5</v>
      </c>
    </row>
    <row r="50" spans="1:7" x14ac:dyDescent="0.2">
      <c r="A50" s="2">
        <v>49</v>
      </c>
      <c r="B50" s="3" t="s">
        <v>99</v>
      </c>
      <c r="C50" s="3" t="s">
        <v>100</v>
      </c>
      <c r="D50" s="4">
        <v>10</v>
      </c>
      <c r="E50" s="13">
        <v>2.5</v>
      </c>
      <c r="F50">
        <v>23</v>
      </c>
      <c r="G50" s="42">
        <f t="shared" si="0"/>
        <v>5.75</v>
      </c>
    </row>
    <row r="51" spans="1:7" x14ac:dyDescent="0.2">
      <c r="A51" s="2">
        <v>50</v>
      </c>
      <c r="B51" s="3" t="s">
        <v>101</v>
      </c>
      <c r="C51" s="3" t="s">
        <v>102</v>
      </c>
      <c r="D51" s="4">
        <v>8</v>
      </c>
      <c r="E51" s="13">
        <v>2</v>
      </c>
      <c r="F51">
        <v>22</v>
      </c>
      <c r="G51" s="42">
        <f t="shared" si="0"/>
        <v>5.5</v>
      </c>
    </row>
    <row r="52" spans="1:7" ht="25.5" x14ac:dyDescent="0.2">
      <c r="A52" s="2">
        <v>51</v>
      </c>
      <c r="B52" s="3" t="s">
        <v>103</v>
      </c>
      <c r="C52" s="3" t="s">
        <v>104</v>
      </c>
      <c r="D52" s="4">
        <v>7</v>
      </c>
      <c r="E52" s="13">
        <v>1.75</v>
      </c>
      <c r="F52">
        <v>20</v>
      </c>
      <c r="G52" s="42">
        <f t="shared" si="0"/>
        <v>5</v>
      </c>
    </row>
    <row r="53" spans="1:7" x14ac:dyDescent="0.2">
      <c r="A53" s="2">
        <v>52</v>
      </c>
      <c r="B53" s="3" t="s">
        <v>105</v>
      </c>
      <c r="C53" s="3" t="s">
        <v>106</v>
      </c>
      <c r="D53" s="4">
        <v>10</v>
      </c>
      <c r="E53" s="13">
        <v>2.5</v>
      </c>
      <c r="F53">
        <v>24</v>
      </c>
      <c r="G53" s="42">
        <f t="shared" si="0"/>
        <v>6</v>
      </c>
    </row>
    <row r="54" spans="1:7" x14ac:dyDescent="0.2">
      <c r="A54" s="2">
        <v>53</v>
      </c>
      <c r="B54" s="3" t="s">
        <v>107</v>
      </c>
      <c r="C54" s="3" t="s">
        <v>108</v>
      </c>
      <c r="D54" s="4">
        <v>7</v>
      </c>
      <c r="E54" s="13">
        <v>1.75</v>
      </c>
      <c r="F54">
        <v>23</v>
      </c>
      <c r="G54" s="42">
        <f t="shared" si="0"/>
        <v>5.75</v>
      </c>
    </row>
    <row r="55" spans="1:7" x14ac:dyDescent="0.2">
      <c r="A55" s="2">
        <v>54</v>
      </c>
      <c r="B55" s="3" t="s">
        <v>109</v>
      </c>
      <c r="C55" s="3" t="s">
        <v>110</v>
      </c>
      <c r="D55" s="4">
        <v>7</v>
      </c>
      <c r="E55" s="13">
        <v>1.75</v>
      </c>
      <c r="F55">
        <v>10</v>
      </c>
      <c r="G55" s="42">
        <f t="shared" si="0"/>
        <v>2.5</v>
      </c>
    </row>
    <row r="56" spans="1:7" x14ac:dyDescent="0.2">
      <c r="A56" s="2">
        <v>55</v>
      </c>
      <c r="B56" s="3" t="s">
        <v>111</v>
      </c>
      <c r="C56" s="3" t="s">
        <v>112</v>
      </c>
      <c r="D56" s="4">
        <v>3</v>
      </c>
      <c r="E56" s="13">
        <v>0.75</v>
      </c>
      <c r="F56">
        <v>12</v>
      </c>
      <c r="G56" s="42">
        <f t="shared" si="0"/>
        <v>3</v>
      </c>
    </row>
    <row r="57" spans="1:7" x14ac:dyDescent="0.2">
      <c r="A57" s="2">
        <v>56</v>
      </c>
      <c r="B57" s="3" t="s">
        <v>113</v>
      </c>
      <c r="C57" s="3" t="s">
        <v>114</v>
      </c>
      <c r="D57" s="4">
        <v>5</v>
      </c>
      <c r="E57" s="13">
        <v>1.25</v>
      </c>
      <c r="F57">
        <v>15</v>
      </c>
      <c r="G57" s="42">
        <f t="shared" si="0"/>
        <v>3.75</v>
      </c>
    </row>
    <row r="58" spans="1:7" x14ac:dyDescent="0.2">
      <c r="A58" s="2">
        <v>57</v>
      </c>
      <c r="B58" s="3" t="s">
        <v>115</v>
      </c>
      <c r="C58" s="3" t="s">
        <v>116</v>
      </c>
      <c r="D58" s="4">
        <v>11</v>
      </c>
      <c r="E58" s="13">
        <v>2.75</v>
      </c>
      <c r="F58">
        <v>23</v>
      </c>
      <c r="G58" s="42">
        <f t="shared" si="0"/>
        <v>5.75</v>
      </c>
    </row>
    <row r="59" spans="1:7" x14ac:dyDescent="0.2">
      <c r="A59" s="2">
        <v>58</v>
      </c>
      <c r="B59" s="3" t="s">
        <v>117</v>
      </c>
      <c r="C59" s="3" t="s">
        <v>118</v>
      </c>
      <c r="D59" s="4">
        <v>10</v>
      </c>
      <c r="E59" s="13">
        <v>2.5</v>
      </c>
      <c r="F59">
        <v>21</v>
      </c>
      <c r="G59" s="42">
        <f t="shared" si="0"/>
        <v>5.25</v>
      </c>
    </row>
    <row r="60" spans="1:7" x14ac:dyDescent="0.2">
      <c r="A60" s="2">
        <v>59</v>
      </c>
      <c r="B60" s="3" t="s">
        <v>119</v>
      </c>
      <c r="C60" s="3" t="s">
        <v>120</v>
      </c>
      <c r="D60" s="4">
        <v>3</v>
      </c>
      <c r="E60" s="13">
        <v>0.75</v>
      </c>
      <c r="F60">
        <v>17</v>
      </c>
      <c r="G60" s="42">
        <f t="shared" si="0"/>
        <v>4.25</v>
      </c>
    </row>
    <row r="61" spans="1:7" x14ac:dyDescent="0.2">
      <c r="A61" s="2">
        <v>60</v>
      </c>
      <c r="B61" s="3" t="s">
        <v>121</v>
      </c>
      <c r="C61" s="3" t="s">
        <v>122</v>
      </c>
      <c r="D61" s="4">
        <v>12</v>
      </c>
      <c r="E61" s="13">
        <v>3</v>
      </c>
      <c r="F61">
        <v>24</v>
      </c>
      <c r="G61" s="42">
        <f t="shared" si="0"/>
        <v>6</v>
      </c>
    </row>
    <row r="62" spans="1:7" x14ac:dyDescent="0.2">
      <c r="A62" s="2">
        <v>61</v>
      </c>
      <c r="B62" s="3" t="s">
        <v>123</v>
      </c>
      <c r="C62" s="3" t="s">
        <v>124</v>
      </c>
      <c r="D62" s="4">
        <v>8</v>
      </c>
      <c r="E62" s="13">
        <v>2</v>
      </c>
      <c r="F62">
        <v>18</v>
      </c>
      <c r="G62" s="42">
        <f t="shared" si="0"/>
        <v>4.5</v>
      </c>
    </row>
    <row r="63" spans="1:7" x14ac:dyDescent="0.2">
      <c r="A63" s="2">
        <v>62</v>
      </c>
      <c r="B63" s="3" t="s">
        <v>125</v>
      </c>
      <c r="C63" s="3" t="s">
        <v>126</v>
      </c>
      <c r="D63" s="4">
        <v>9</v>
      </c>
      <c r="E63" s="13">
        <v>2.25</v>
      </c>
      <c r="F63">
        <v>22</v>
      </c>
      <c r="G63" s="42">
        <f t="shared" si="0"/>
        <v>5.5</v>
      </c>
    </row>
    <row r="64" spans="1:7" x14ac:dyDescent="0.2">
      <c r="A64" s="2">
        <v>63</v>
      </c>
      <c r="B64" s="3" t="s">
        <v>127</v>
      </c>
      <c r="C64" s="3" t="s">
        <v>128</v>
      </c>
      <c r="D64" s="4">
        <v>9</v>
      </c>
      <c r="E64" s="13">
        <v>2.25</v>
      </c>
      <c r="F64">
        <v>20</v>
      </c>
      <c r="G64" s="42">
        <f t="shared" si="0"/>
        <v>5</v>
      </c>
    </row>
    <row r="65" spans="1:7" x14ac:dyDescent="0.2">
      <c r="A65" s="2">
        <v>64</v>
      </c>
      <c r="B65" s="3" t="s">
        <v>129</v>
      </c>
      <c r="C65" s="3" t="s">
        <v>130</v>
      </c>
      <c r="D65" s="4">
        <v>9</v>
      </c>
      <c r="E65" s="13">
        <v>2.25</v>
      </c>
      <c r="F65">
        <v>15</v>
      </c>
      <c r="G65" s="42">
        <f t="shared" si="0"/>
        <v>3.75</v>
      </c>
    </row>
    <row r="66" spans="1:7" x14ac:dyDescent="0.2">
      <c r="A66" s="2">
        <v>65</v>
      </c>
      <c r="B66" s="3" t="s">
        <v>131</v>
      </c>
      <c r="C66" s="3" t="s">
        <v>132</v>
      </c>
      <c r="D66" s="4">
        <v>8</v>
      </c>
      <c r="E66" s="13">
        <v>2</v>
      </c>
      <c r="F66">
        <v>19</v>
      </c>
      <c r="G66" s="42">
        <f t="shared" si="0"/>
        <v>4.75</v>
      </c>
    </row>
    <row r="67" spans="1:7" x14ac:dyDescent="0.2">
      <c r="A67" s="2">
        <v>66</v>
      </c>
      <c r="B67" s="3" t="s">
        <v>133</v>
      </c>
      <c r="C67" s="3" t="s">
        <v>134</v>
      </c>
      <c r="D67" s="4">
        <v>9</v>
      </c>
      <c r="E67" s="13">
        <v>2.25</v>
      </c>
      <c r="F67">
        <v>20</v>
      </c>
      <c r="G67" s="42">
        <f t="shared" ref="G67:G93" si="1">F67/4</f>
        <v>5</v>
      </c>
    </row>
    <row r="68" spans="1:7" x14ac:dyDescent="0.2">
      <c r="A68" s="2">
        <v>67</v>
      </c>
      <c r="B68" s="3" t="s">
        <v>135</v>
      </c>
      <c r="C68" s="3" t="s">
        <v>136</v>
      </c>
      <c r="D68" s="4">
        <v>6</v>
      </c>
      <c r="E68" s="13">
        <v>1.5</v>
      </c>
      <c r="F68">
        <v>16</v>
      </c>
      <c r="G68" s="42">
        <f t="shared" si="1"/>
        <v>4</v>
      </c>
    </row>
    <row r="69" spans="1:7" x14ac:dyDescent="0.2">
      <c r="A69" s="2">
        <v>68</v>
      </c>
      <c r="B69" s="3" t="s">
        <v>137</v>
      </c>
      <c r="C69" s="3" t="s">
        <v>138</v>
      </c>
      <c r="D69" s="4">
        <v>6</v>
      </c>
      <c r="E69" s="13">
        <v>1.5</v>
      </c>
      <c r="F69">
        <v>21</v>
      </c>
      <c r="G69" s="42">
        <f t="shared" si="1"/>
        <v>5.25</v>
      </c>
    </row>
    <row r="70" spans="1:7" x14ac:dyDescent="0.2">
      <c r="A70" s="2">
        <v>69</v>
      </c>
      <c r="B70" s="3" t="s">
        <v>139</v>
      </c>
      <c r="C70" s="3" t="s">
        <v>140</v>
      </c>
      <c r="D70" s="4">
        <v>5</v>
      </c>
      <c r="E70" s="13">
        <v>1.25</v>
      </c>
      <c r="F70">
        <v>23</v>
      </c>
      <c r="G70" s="42">
        <f t="shared" si="1"/>
        <v>5.75</v>
      </c>
    </row>
    <row r="71" spans="1:7" x14ac:dyDescent="0.2">
      <c r="A71" s="2">
        <v>70</v>
      </c>
      <c r="B71" s="3" t="s">
        <v>141</v>
      </c>
      <c r="C71" s="3" t="s">
        <v>140</v>
      </c>
      <c r="D71" s="4">
        <v>9</v>
      </c>
      <c r="E71" s="13">
        <v>2.25</v>
      </c>
      <c r="F71">
        <v>22</v>
      </c>
      <c r="G71" s="42">
        <f t="shared" si="1"/>
        <v>5.5</v>
      </c>
    </row>
    <row r="72" spans="1:7" x14ac:dyDescent="0.2">
      <c r="A72" s="2">
        <v>71</v>
      </c>
      <c r="B72" s="3" t="s">
        <v>142</v>
      </c>
      <c r="C72" s="3" t="s">
        <v>143</v>
      </c>
      <c r="D72" s="4">
        <v>6</v>
      </c>
      <c r="E72" s="13">
        <v>1.5</v>
      </c>
      <c r="F72">
        <v>19</v>
      </c>
      <c r="G72" s="42">
        <f t="shared" si="1"/>
        <v>4.75</v>
      </c>
    </row>
    <row r="73" spans="1:7" x14ac:dyDescent="0.2">
      <c r="A73" s="2">
        <v>72</v>
      </c>
      <c r="B73" s="3" t="s">
        <v>144</v>
      </c>
      <c r="C73" s="3" t="s">
        <v>145</v>
      </c>
      <c r="D73" s="4">
        <v>8</v>
      </c>
      <c r="E73" s="13">
        <v>2</v>
      </c>
      <c r="F73">
        <v>23</v>
      </c>
      <c r="G73" s="42">
        <f t="shared" si="1"/>
        <v>5.75</v>
      </c>
    </row>
    <row r="74" spans="1:7" x14ac:dyDescent="0.2">
      <c r="A74" s="2">
        <v>73</v>
      </c>
      <c r="B74" s="3" t="s">
        <v>146</v>
      </c>
      <c r="C74" s="3" t="s">
        <v>147</v>
      </c>
      <c r="D74">
        <v>7</v>
      </c>
      <c r="E74" s="13">
        <v>1.75</v>
      </c>
      <c r="F74">
        <v>73</v>
      </c>
      <c r="G74" s="42">
        <f t="shared" si="1"/>
        <v>18.25</v>
      </c>
    </row>
    <row r="75" spans="1:7" ht="25.5" x14ac:dyDescent="0.2">
      <c r="A75" s="2">
        <v>74</v>
      </c>
      <c r="B75" s="3" t="s">
        <v>148</v>
      </c>
      <c r="C75" s="3" t="s">
        <v>149</v>
      </c>
      <c r="D75" s="4">
        <v>10</v>
      </c>
      <c r="E75" s="13">
        <v>2.5</v>
      </c>
      <c r="F75">
        <v>23</v>
      </c>
      <c r="G75" s="42">
        <f t="shared" si="1"/>
        <v>5.75</v>
      </c>
    </row>
    <row r="76" spans="1:7" x14ac:dyDescent="0.2">
      <c r="A76" s="2">
        <v>75</v>
      </c>
      <c r="B76" s="3" t="s">
        <v>150</v>
      </c>
      <c r="C76" s="3" t="s">
        <v>151</v>
      </c>
      <c r="D76">
        <v>3</v>
      </c>
      <c r="E76" s="13">
        <v>0.75</v>
      </c>
      <c r="F76">
        <v>14</v>
      </c>
      <c r="G76" s="42">
        <f t="shared" si="1"/>
        <v>3.5</v>
      </c>
    </row>
    <row r="77" spans="1:7" x14ac:dyDescent="0.2">
      <c r="A77" s="2">
        <v>76</v>
      </c>
      <c r="B77" s="3" t="s">
        <v>152</v>
      </c>
      <c r="C77" s="3" t="s">
        <v>153</v>
      </c>
      <c r="D77">
        <v>9</v>
      </c>
      <c r="E77" s="13">
        <v>2.25</v>
      </c>
      <c r="F77">
        <v>17</v>
      </c>
      <c r="G77" s="42">
        <f t="shared" si="1"/>
        <v>4.25</v>
      </c>
    </row>
    <row r="78" spans="1:7" x14ac:dyDescent="0.2">
      <c r="A78" s="2">
        <v>77</v>
      </c>
      <c r="B78" s="3" t="s">
        <v>154</v>
      </c>
      <c r="C78" s="3" t="s">
        <v>155</v>
      </c>
      <c r="D78" s="4">
        <v>8</v>
      </c>
      <c r="E78" s="13">
        <v>2</v>
      </c>
      <c r="F78">
        <v>21</v>
      </c>
      <c r="G78" s="42">
        <f t="shared" si="1"/>
        <v>5.25</v>
      </c>
    </row>
    <row r="79" spans="1:7" x14ac:dyDescent="0.2">
      <c r="A79" s="2">
        <v>78</v>
      </c>
      <c r="B79" s="3" t="s">
        <v>156</v>
      </c>
      <c r="C79" s="3" t="s">
        <v>157</v>
      </c>
      <c r="D79" s="4">
        <v>9</v>
      </c>
      <c r="E79" s="13">
        <v>2.25</v>
      </c>
      <c r="F79">
        <v>22</v>
      </c>
      <c r="G79" s="42">
        <f t="shared" si="1"/>
        <v>5.5</v>
      </c>
    </row>
    <row r="80" spans="1:7" ht="25.5" x14ac:dyDescent="0.2">
      <c r="A80" s="2">
        <v>79</v>
      </c>
      <c r="B80" s="3" t="s">
        <v>158</v>
      </c>
      <c r="C80" s="3" t="s">
        <v>159</v>
      </c>
      <c r="D80" s="4">
        <v>9</v>
      </c>
      <c r="E80" s="13">
        <v>2.25</v>
      </c>
      <c r="F80">
        <v>21</v>
      </c>
      <c r="G80" s="42">
        <f t="shared" si="1"/>
        <v>5.25</v>
      </c>
    </row>
    <row r="81" spans="1:7" x14ac:dyDescent="0.2">
      <c r="A81" s="2">
        <v>80</v>
      </c>
      <c r="B81" s="3" t="s">
        <v>160</v>
      </c>
      <c r="C81" s="3" t="s">
        <v>161</v>
      </c>
      <c r="D81" s="4">
        <v>9</v>
      </c>
      <c r="E81" s="13">
        <v>2.25</v>
      </c>
      <c r="F81">
        <v>22</v>
      </c>
      <c r="G81" s="42">
        <f t="shared" si="1"/>
        <v>5.5</v>
      </c>
    </row>
    <row r="82" spans="1:7" x14ac:dyDescent="0.2">
      <c r="A82" s="2">
        <v>81</v>
      </c>
      <c r="B82" s="3" t="s">
        <v>162</v>
      </c>
      <c r="C82" s="3" t="s">
        <v>163</v>
      </c>
      <c r="D82">
        <v>7</v>
      </c>
      <c r="E82" s="13">
        <v>1.75</v>
      </c>
      <c r="F82">
        <v>18</v>
      </c>
      <c r="G82" s="42">
        <f t="shared" si="1"/>
        <v>4.5</v>
      </c>
    </row>
    <row r="83" spans="1:7" x14ac:dyDescent="0.2">
      <c r="A83" s="2">
        <v>82</v>
      </c>
      <c r="B83" s="3" t="s">
        <v>164</v>
      </c>
      <c r="C83" s="3" t="s">
        <v>165</v>
      </c>
      <c r="D83" s="4">
        <v>10</v>
      </c>
      <c r="E83" s="13">
        <v>2.5</v>
      </c>
      <c r="F83">
        <v>21</v>
      </c>
      <c r="G83" s="42">
        <f t="shared" si="1"/>
        <v>5.25</v>
      </c>
    </row>
    <row r="84" spans="1:7" x14ac:dyDescent="0.2">
      <c r="A84" s="2">
        <v>83</v>
      </c>
      <c r="B84" s="3" t="s">
        <v>166</v>
      </c>
      <c r="C84" s="3" t="s">
        <v>167</v>
      </c>
      <c r="D84" s="4">
        <v>9</v>
      </c>
      <c r="E84" s="13">
        <v>2.25</v>
      </c>
      <c r="F84">
        <v>20</v>
      </c>
      <c r="G84" s="42">
        <f t="shared" si="1"/>
        <v>5</v>
      </c>
    </row>
    <row r="85" spans="1:7" x14ac:dyDescent="0.2">
      <c r="A85" s="2">
        <v>84</v>
      </c>
      <c r="B85" s="3" t="s">
        <v>168</v>
      </c>
      <c r="C85" s="3" t="s">
        <v>169</v>
      </c>
      <c r="D85" s="4">
        <v>7</v>
      </c>
      <c r="E85" s="13">
        <v>1.75</v>
      </c>
      <c r="F85">
        <v>21</v>
      </c>
      <c r="G85" s="42">
        <f t="shared" si="1"/>
        <v>5.25</v>
      </c>
    </row>
    <row r="86" spans="1:7" x14ac:dyDescent="0.2">
      <c r="A86" s="2">
        <v>85</v>
      </c>
      <c r="B86" s="3" t="s">
        <v>170</v>
      </c>
      <c r="C86" s="3" t="s">
        <v>171</v>
      </c>
      <c r="D86">
        <v>9</v>
      </c>
      <c r="E86" s="13">
        <v>2.25</v>
      </c>
      <c r="F86">
        <v>16</v>
      </c>
      <c r="G86" s="42">
        <f t="shared" si="1"/>
        <v>4</v>
      </c>
    </row>
    <row r="87" spans="1:7" x14ac:dyDescent="0.2">
      <c r="A87" s="2">
        <v>86</v>
      </c>
      <c r="B87" s="3" t="s">
        <v>172</v>
      </c>
      <c r="C87" s="3" t="s">
        <v>173</v>
      </c>
      <c r="D87" s="4">
        <v>9</v>
      </c>
      <c r="E87" s="13">
        <v>2.25</v>
      </c>
      <c r="F87">
        <v>18</v>
      </c>
      <c r="G87" s="42">
        <f t="shared" si="1"/>
        <v>4.5</v>
      </c>
    </row>
    <row r="88" spans="1:7" x14ac:dyDescent="0.2">
      <c r="A88" s="2">
        <v>87</v>
      </c>
      <c r="B88" s="3" t="s">
        <v>174</v>
      </c>
      <c r="C88" s="3" t="s">
        <v>175</v>
      </c>
      <c r="D88" s="4">
        <v>11</v>
      </c>
      <c r="E88" s="13">
        <v>2.75</v>
      </c>
      <c r="F88">
        <v>22</v>
      </c>
      <c r="G88" s="42">
        <f t="shared" si="1"/>
        <v>5.5</v>
      </c>
    </row>
    <row r="89" spans="1:7" x14ac:dyDescent="0.2">
      <c r="A89" s="2">
        <v>88</v>
      </c>
      <c r="B89" s="3" t="s">
        <v>176</v>
      </c>
      <c r="C89" s="3" t="s">
        <v>177</v>
      </c>
      <c r="D89" s="4">
        <v>10</v>
      </c>
      <c r="E89" s="13">
        <v>2.5</v>
      </c>
      <c r="F89">
        <v>24</v>
      </c>
      <c r="G89" s="42">
        <f t="shared" si="1"/>
        <v>6</v>
      </c>
    </row>
    <row r="90" spans="1:7" x14ac:dyDescent="0.2">
      <c r="A90" s="2">
        <v>89</v>
      </c>
      <c r="B90" s="3" t="s">
        <v>178</v>
      </c>
      <c r="C90" s="3" t="s">
        <v>179</v>
      </c>
      <c r="D90" s="4">
        <v>9</v>
      </c>
      <c r="E90" s="13">
        <v>2.25</v>
      </c>
      <c r="F90">
        <v>19</v>
      </c>
      <c r="G90" s="42">
        <f t="shared" si="1"/>
        <v>4.75</v>
      </c>
    </row>
    <row r="91" spans="1:7" x14ac:dyDescent="0.2">
      <c r="A91" s="2">
        <v>90</v>
      </c>
      <c r="B91" s="3" t="s">
        <v>180</v>
      </c>
      <c r="C91" s="3" t="s">
        <v>181</v>
      </c>
      <c r="D91" s="4">
        <v>7</v>
      </c>
      <c r="E91" s="13">
        <v>1.75</v>
      </c>
      <c r="F91">
        <v>23</v>
      </c>
      <c r="G91" s="42">
        <f t="shared" si="1"/>
        <v>5.75</v>
      </c>
    </row>
    <row r="92" spans="1:7" x14ac:dyDescent="0.2">
      <c r="A92" s="2">
        <v>91</v>
      </c>
      <c r="B92" s="3" t="s">
        <v>182</v>
      </c>
      <c r="C92" s="3" t="s">
        <v>183</v>
      </c>
      <c r="D92" s="4">
        <v>5</v>
      </c>
      <c r="E92" s="13">
        <v>1.25</v>
      </c>
      <c r="F92">
        <v>21</v>
      </c>
      <c r="G92" s="42">
        <f t="shared" si="1"/>
        <v>5.25</v>
      </c>
    </row>
    <row r="93" spans="1:7" x14ac:dyDescent="0.2">
      <c r="A93" s="2">
        <v>92</v>
      </c>
      <c r="B93" s="3" t="s">
        <v>184</v>
      </c>
      <c r="C93" s="3" t="s">
        <v>185</v>
      </c>
      <c r="D93" s="4">
        <v>12</v>
      </c>
      <c r="E93" s="13">
        <v>3</v>
      </c>
      <c r="F93">
        <v>22</v>
      </c>
      <c r="G93" s="42">
        <f t="shared" si="1"/>
        <v>5.5</v>
      </c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" right="0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ECCC-BF5E-4726-A271-DD36AA6E7571}">
  <dimension ref="A1:Q93"/>
  <sheetViews>
    <sheetView topLeftCell="B29" zoomScale="104" workbookViewId="0">
      <selection activeCell="N57" sqref="N57"/>
    </sheetView>
  </sheetViews>
  <sheetFormatPr defaultColWidth="8" defaultRowHeight="12.75" x14ac:dyDescent="0.2"/>
  <cols>
    <col min="1" max="1" width="4.5" bestFit="1" customWidth="1"/>
    <col min="2" max="2" width="11.5" bestFit="1" customWidth="1"/>
    <col min="3" max="3" width="22" customWidth="1"/>
    <col min="4" max="4" width="15" hidden="1" customWidth="1"/>
    <col min="5" max="5" width="5.1640625" bestFit="1" customWidth="1"/>
    <col min="6" max="8" width="8" customWidth="1"/>
  </cols>
  <sheetData>
    <row r="1" spans="1:16" ht="51" x14ac:dyDescent="0.2">
      <c r="A1" s="19" t="s">
        <v>0</v>
      </c>
      <c r="B1" s="19" t="s">
        <v>1</v>
      </c>
      <c r="C1" s="19" t="s">
        <v>2</v>
      </c>
      <c r="D1" s="7" t="s">
        <v>195</v>
      </c>
      <c r="E1" s="7" t="s">
        <v>190</v>
      </c>
      <c r="F1" s="28">
        <v>45197</v>
      </c>
      <c r="G1" s="28">
        <v>45201</v>
      </c>
      <c r="H1" s="28">
        <v>45202</v>
      </c>
      <c r="I1" s="28">
        <v>45204</v>
      </c>
      <c r="J1" s="28">
        <v>45208</v>
      </c>
      <c r="K1" s="28">
        <v>45205</v>
      </c>
      <c r="L1" s="28">
        <v>45216</v>
      </c>
      <c r="M1" s="28">
        <v>45218</v>
      </c>
      <c r="N1" s="28">
        <v>45222</v>
      </c>
      <c r="O1" s="28">
        <v>45223</v>
      </c>
      <c r="P1" s="28">
        <v>45225</v>
      </c>
    </row>
    <row r="2" spans="1:16" x14ac:dyDescent="0.2">
      <c r="A2" s="20">
        <v>1</v>
      </c>
      <c r="B2" s="21" t="s">
        <v>3</v>
      </c>
      <c r="C2" s="21" t="s">
        <v>4</v>
      </c>
      <c r="D2" s="21" t="str">
        <f>IF(E2=0,0.5,IF(E2=1,0.4,IF(E2=2,0.3,IF(E2=3,0.2,"Cấm thi"))))</f>
        <v>Cấm thi</v>
      </c>
      <c r="E2" s="24">
        <f>COUNTIF(F2:P2,0)</f>
        <v>4</v>
      </c>
      <c r="F2" s="15">
        <v>0</v>
      </c>
      <c r="G2" s="15">
        <v>0</v>
      </c>
      <c r="H2" s="15">
        <v>0</v>
      </c>
      <c r="I2" s="9">
        <v>1</v>
      </c>
      <c r="J2" s="9">
        <v>1</v>
      </c>
      <c r="K2" s="9">
        <v>1</v>
      </c>
      <c r="L2" s="9">
        <v>1</v>
      </c>
      <c r="M2" s="9">
        <v>1</v>
      </c>
      <c r="N2" s="9">
        <v>1</v>
      </c>
      <c r="O2" s="9">
        <v>1</v>
      </c>
      <c r="P2" s="15">
        <v>0</v>
      </c>
    </row>
    <row r="3" spans="1:16" x14ac:dyDescent="0.2">
      <c r="A3" s="20">
        <v>2</v>
      </c>
      <c r="B3" s="21" t="s">
        <v>5</v>
      </c>
      <c r="C3" s="21" t="s">
        <v>6</v>
      </c>
      <c r="D3" s="21">
        <f t="shared" ref="D3:D66" si="0">IF(E3=0,0.5,IF(E3=1,0.4,IF(E3=2,0.3,IF(E3=3,0.2,"Cấm thi"))))</f>
        <v>0.5</v>
      </c>
      <c r="E3" s="24">
        <f t="shared" ref="E3:E66" si="1">COUNTIF(F3:P3,0)</f>
        <v>0</v>
      </c>
      <c r="F3" s="14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</row>
    <row r="4" spans="1:16" x14ac:dyDescent="0.2">
      <c r="A4" s="20">
        <v>3</v>
      </c>
      <c r="B4" s="21" t="s">
        <v>7</v>
      </c>
      <c r="C4" s="21" t="s">
        <v>8</v>
      </c>
      <c r="D4" s="21">
        <f t="shared" si="0"/>
        <v>0.5</v>
      </c>
      <c r="E4" s="24">
        <f t="shared" si="1"/>
        <v>0</v>
      </c>
      <c r="F4" s="14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</row>
    <row r="5" spans="1:16" x14ac:dyDescent="0.2">
      <c r="A5" s="20">
        <v>4</v>
      </c>
      <c r="B5" s="21" t="s">
        <v>9</v>
      </c>
      <c r="C5" s="21" t="s">
        <v>10</v>
      </c>
      <c r="D5" s="21">
        <f t="shared" si="0"/>
        <v>0.4</v>
      </c>
      <c r="E5" s="24">
        <f t="shared" si="1"/>
        <v>1</v>
      </c>
      <c r="F5" s="14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15">
        <v>0</v>
      </c>
      <c r="O5" s="9">
        <v>1</v>
      </c>
      <c r="P5" s="9">
        <v>1</v>
      </c>
    </row>
    <row r="6" spans="1:16" x14ac:dyDescent="0.2">
      <c r="A6" s="20">
        <v>5</v>
      </c>
      <c r="B6" s="21" t="s">
        <v>11</v>
      </c>
      <c r="C6" s="21" t="s">
        <v>12</v>
      </c>
      <c r="D6" s="21">
        <f t="shared" si="0"/>
        <v>0.5</v>
      </c>
      <c r="E6" s="24">
        <f t="shared" si="1"/>
        <v>0</v>
      </c>
      <c r="F6" s="14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</row>
    <row r="7" spans="1:16" x14ac:dyDescent="0.2">
      <c r="A7" s="20">
        <v>6</v>
      </c>
      <c r="B7" s="21" t="s">
        <v>13</v>
      </c>
      <c r="C7" s="21" t="s">
        <v>14</v>
      </c>
      <c r="D7" s="21">
        <f t="shared" si="0"/>
        <v>0.5</v>
      </c>
      <c r="E7" s="24">
        <f t="shared" si="1"/>
        <v>0</v>
      </c>
      <c r="F7" s="14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</row>
    <row r="8" spans="1:16" x14ac:dyDescent="0.2">
      <c r="A8" s="20">
        <v>7</v>
      </c>
      <c r="B8" s="21" t="s">
        <v>15</v>
      </c>
      <c r="C8" s="21" t="s">
        <v>16</v>
      </c>
      <c r="D8" s="21">
        <f t="shared" si="0"/>
        <v>0.5</v>
      </c>
      <c r="E8" s="24">
        <f t="shared" si="1"/>
        <v>0</v>
      </c>
      <c r="F8" s="14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</row>
    <row r="9" spans="1:16" x14ac:dyDescent="0.2">
      <c r="A9" s="20">
        <v>8</v>
      </c>
      <c r="B9" s="21" t="s">
        <v>17</v>
      </c>
      <c r="C9" s="21" t="s">
        <v>18</v>
      </c>
      <c r="D9" s="21">
        <f t="shared" si="0"/>
        <v>0.5</v>
      </c>
      <c r="E9" s="24">
        <f t="shared" si="1"/>
        <v>0</v>
      </c>
      <c r="F9" s="14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</row>
    <row r="10" spans="1:16" x14ac:dyDescent="0.2">
      <c r="A10" s="20">
        <v>9</v>
      </c>
      <c r="B10" s="21" t="s">
        <v>19</v>
      </c>
      <c r="C10" s="21" t="s">
        <v>20</v>
      </c>
      <c r="D10" s="21">
        <f t="shared" si="0"/>
        <v>0.5</v>
      </c>
      <c r="E10" s="24">
        <f t="shared" si="1"/>
        <v>0</v>
      </c>
      <c r="F10" s="14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</row>
    <row r="11" spans="1:16" x14ac:dyDescent="0.2">
      <c r="A11" s="20">
        <v>10</v>
      </c>
      <c r="B11" s="21" t="s">
        <v>21</v>
      </c>
      <c r="C11" s="21" t="s">
        <v>22</v>
      </c>
      <c r="D11" s="21">
        <f t="shared" si="0"/>
        <v>0.5</v>
      </c>
      <c r="E11" s="24">
        <f t="shared" si="1"/>
        <v>0</v>
      </c>
      <c r="F11" s="14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15">
        <v>1</v>
      </c>
    </row>
    <row r="12" spans="1:16" x14ac:dyDescent="0.2">
      <c r="A12" s="20">
        <v>11</v>
      </c>
      <c r="B12" s="21" t="s">
        <v>23</v>
      </c>
      <c r="C12" s="21" t="s">
        <v>24</v>
      </c>
      <c r="D12" s="21">
        <f t="shared" si="0"/>
        <v>0.5</v>
      </c>
      <c r="E12" s="24">
        <f t="shared" si="1"/>
        <v>0</v>
      </c>
      <c r="F12" s="14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</row>
    <row r="13" spans="1:16" x14ac:dyDescent="0.2">
      <c r="A13" s="20">
        <v>12</v>
      </c>
      <c r="B13" s="21" t="s">
        <v>25</v>
      </c>
      <c r="C13" s="21" t="s">
        <v>26</v>
      </c>
      <c r="D13" s="21">
        <f t="shared" si="0"/>
        <v>0.5</v>
      </c>
      <c r="E13" s="24">
        <f t="shared" si="1"/>
        <v>0</v>
      </c>
      <c r="F13" s="14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9">
        <v>1</v>
      </c>
    </row>
    <row r="14" spans="1:16" x14ac:dyDescent="0.2">
      <c r="A14" s="20">
        <v>13</v>
      </c>
      <c r="B14" s="21" t="s">
        <v>27</v>
      </c>
      <c r="C14" s="21" t="s">
        <v>28</v>
      </c>
      <c r="D14" s="21">
        <f t="shared" si="0"/>
        <v>0.5</v>
      </c>
      <c r="E14" s="24">
        <f t="shared" si="1"/>
        <v>0</v>
      </c>
      <c r="F14" s="14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</row>
    <row r="15" spans="1:16" x14ac:dyDescent="0.2">
      <c r="A15" s="20">
        <v>14</v>
      </c>
      <c r="B15" s="21" t="s">
        <v>29</v>
      </c>
      <c r="C15" s="21" t="s">
        <v>30</v>
      </c>
      <c r="D15" s="21">
        <f t="shared" si="0"/>
        <v>0.5</v>
      </c>
      <c r="E15" s="24">
        <f t="shared" si="1"/>
        <v>0</v>
      </c>
      <c r="F15" s="14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</row>
    <row r="16" spans="1:16" x14ac:dyDescent="0.2">
      <c r="A16" s="20">
        <v>15</v>
      </c>
      <c r="B16" s="21" t="s">
        <v>31</v>
      </c>
      <c r="C16" s="21" t="s">
        <v>32</v>
      </c>
      <c r="D16" s="21">
        <f t="shared" si="0"/>
        <v>0.5</v>
      </c>
      <c r="E16" s="24">
        <f t="shared" si="1"/>
        <v>0</v>
      </c>
      <c r="F16" s="14">
        <v>1</v>
      </c>
      <c r="G16" s="9">
        <v>1</v>
      </c>
      <c r="H16" s="14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</row>
    <row r="17" spans="1:17" ht="25.5" x14ac:dyDescent="0.2">
      <c r="A17" s="20">
        <v>16</v>
      </c>
      <c r="B17" s="21" t="s">
        <v>33</v>
      </c>
      <c r="C17" s="21" t="s">
        <v>34</v>
      </c>
      <c r="D17" s="21">
        <f t="shared" si="0"/>
        <v>0.5</v>
      </c>
      <c r="E17" s="24">
        <f t="shared" si="1"/>
        <v>0</v>
      </c>
      <c r="F17" s="14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9">
        <v>1</v>
      </c>
    </row>
    <row r="18" spans="1:17" x14ac:dyDescent="0.2">
      <c r="A18" s="20">
        <v>17</v>
      </c>
      <c r="B18" s="21" t="s">
        <v>35</v>
      </c>
      <c r="C18" s="21" t="s">
        <v>36</v>
      </c>
      <c r="D18" s="21">
        <f t="shared" si="0"/>
        <v>0.5</v>
      </c>
      <c r="E18" s="24">
        <f t="shared" si="1"/>
        <v>0</v>
      </c>
      <c r="F18" s="14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9">
        <v>1</v>
      </c>
    </row>
    <row r="19" spans="1:17" x14ac:dyDescent="0.2">
      <c r="A19" s="20">
        <v>18</v>
      </c>
      <c r="B19" s="21" t="s">
        <v>37</v>
      </c>
      <c r="C19" s="21" t="s">
        <v>38</v>
      </c>
      <c r="D19" s="21">
        <f t="shared" si="0"/>
        <v>0.2</v>
      </c>
      <c r="E19" s="24">
        <f t="shared" si="1"/>
        <v>3</v>
      </c>
      <c r="F19" s="14">
        <v>1</v>
      </c>
      <c r="G19" s="9">
        <v>1</v>
      </c>
      <c r="H19" s="15">
        <v>0</v>
      </c>
      <c r="I19" s="9">
        <v>1</v>
      </c>
      <c r="J19" s="9">
        <v>1</v>
      </c>
      <c r="K19" s="9">
        <v>1</v>
      </c>
      <c r="L19" s="9">
        <v>1</v>
      </c>
      <c r="M19" s="15">
        <v>0</v>
      </c>
      <c r="N19" s="9">
        <v>1</v>
      </c>
      <c r="O19" s="15">
        <v>0</v>
      </c>
      <c r="P19" s="9">
        <v>1</v>
      </c>
      <c r="Q19" s="4"/>
    </row>
    <row r="20" spans="1:17" ht="25.5" x14ac:dyDescent="0.2">
      <c r="A20" s="20">
        <v>19</v>
      </c>
      <c r="B20" s="21" t="s">
        <v>39</v>
      </c>
      <c r="C20" s="21" t="s">
        <v>40</v>
      </c>
      <c r="D20" s="21">
        <f t="shared" si="0"/>
        <v>0.5</v>
      </c>
      <c r="E20" s="24">
        <f t="shared" si="1"/>
        <v>0</v>
      </c>
      <c r="F20" s="14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9">
        <v>1</v>
      </c>
    </row>
    <row r="21" spans="1:17" x14ac:dyDescent="0.2">
      <c r="A21" s="20">
        <v>20</v>
      </c>
      <c r="B21" s="21" t="s">
        <v>41</v>
      </c>
      <c r="C21" s="21" t="s">
        <v>42</v>
      </c>
      <c r="D21" s="21">
        <f t="shared" si="0"/>
        <v>0.2</v>
      </c>
      <c r="E21" s="24">
        <f t="shared" si="1"/>
        <v>3</v>
      </c>
      <c r="F21" s="14">
        <v>1</v>
      </c>
      <c r="G21" s="14">
        <v>1</v>
      </c>
      <c r="H21" s="9">
        <v>1</v>
      </c>
      <c r="I21" s="15">
        <v>0</v>
      </c>
      <c r="J21" s="9">
        <v>1</v>
      </c>
      <c r="K21" s="9">
        <v>1</v>
      </c>
      <c r="L21" s="15">
        <v>0</v>
      </c>
      <c r="M21" s="9">
        <v>0</v>
      </c>
      <c r="N21" s="9">
        <v>1</v>
      </c>
      <c r="O21" s="9">
        <v>1</v>
      </c>
      <c r="P21" s="9">
        <v>1</v>
      </c>
    </row>
    <row r="22" spans="1:17" x14ac:dyDescent="0.2">
      <c r="A22" s="20">
        <v>21</v>
      </c>
      <c r="B22" s="21" t="s">
        <v>43</v>
      </c>
      <c r="C22" s="21" t="s">
        <v>44</v>
      </c>
      <c r="D22" s="21">
        <f t="shared" si="0"/>
        <v>0.5</v>
      </c>
      <c r="E22" s="24">
        <f t="shared" si="1"/>
        <v>0</v>
      </c>
      <c r="F22" s="14">
        <v>1</v>
      </c>
      <c r="G22" s="16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</row>
    <row r="23" spans="1:17" x14ac:dyDescent="0.2">
      <c r="A23" s="20">
        <v>22</v>
      </c>
      <c r="B23" s="21" t="s">
        <v>45</v>
      </c>
      <c r="C23" s="21" t="s">
        <v>46</v>
      </c>
      <c r="D23" s="21">
        <f t="shared" si="0"/>
        <v>0.5</v>
      </c>
      <c r="E23" s="24">
        <f t="shared" si="1"/>
        <v>0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9">
        <v>1</v>
      </c>
    </row>
    <row r="24" spans="1:17" x14ac:dyDescent="0.2">
      <c r="A24" s="20">
        <v>23</v>
      </c>
      <c r="B24" s="21" t="s">
        <v>47</v>
      </c>
      <c r="C24" s="21" t="s">
        <v>48</v>
      </c>
      <c r="D24" s="21">
        <f t="shared" si="0"/>
        <v>0.5</v>
      </c>
      <c r="E24" s="24">
        <f t="shared" si="1"/>
        <v>0</v>
      </c>
      <c r="F24" s="14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</row>
    <row r="25" spans="1:17" x14ac:dyDescent="0.2">
      <c r="A25" s="20">
        <v>24</v>
      </c>
      <c r="B25" s="21" t="s">
        <v>49</v>
      </c>
      <c r="C25" s="21" t="s">
        <v>50</v>
      </c>
      <c r="D25" s="21">
        <f t="shared" si="0"/>
        <v>0.2</v>
      </c>
      <c r="E25" s="24">
        <f t="shared" si="1"/>
        <v>3</v>
      </c>
      <c r="F25" s="14">
        <v>1</v>
      </c>
      <c r="G25" s="15">
        <v>0</v>
      </c>
      <c r="H25" s="9">
        <v>1</v>
      </c>
      <c r="I25" s="9">
        <v>1</v>
      </c>
      <c r="J25" s="15">
        <v>0</v>
      </c>
      <c r="K25" s="9">
        <v>0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</row>
    <row r="26" spans="1:17" x14ac:dyDescent="0.2">
      <c r="A26" s="20">
        <v>25</v>
      </c>
      <c r="B26" s="21" t="s">
        <v>51</v>
      </c>
      <c r="C26" s="21" t="s">
        <v>52</v>
      </c>
      <c r="D26" s="21" t="str">
        <f t="shared" si="0"/>
        <v>Cấm thi</v>
      </c>
      <c r="E26" s="24">
        <f t="shared" si="1"/>
        <v>6</v>
      </c>
      <c r="F26" s="14">
        <v>1</v>
      </c>
      <c r="G26" s="15">
        <v>0</v>
      </c>
      <c r="H26" s="9">
        <v>1</v>
      </c>
      <c r="I26" s="9">
        <v>1</v>
      </c>
      <c r="J26" s="15">
        <v>0</v>
      </c>
      <c r="K26" s="15">
        <v>0</v>
      </c>
      <c r="L26" s="9">
        <v>1</v>
      </c>
      <c r="M26" s="15">
        <v>0</v>
      </c>
      <c r="N26" s="15">
        <v>0</v>
      </c>
      <c r="O26" s="15">
        <v>0</v>
      </c>
      <c r="P26" s="9">
        <v>1</v>
      </c>
    </row>
    <row r="27" spans="1:17" ht="25.5" x14ac:dyDescent="0.2">
      <c r="A27" s="20">
        <v>26</v>
      </c>
      <c r="B27" s="21" t="s">
        <v>53</v>
      </c>
      <c r="C27" s="21" t="s">
        <v>54</v>
      </c>
      <c r="D27" s="21">
        <f t="shared" si="0"/>
        <v>0.4</v>
      </c>
      <c r="E27" s="24">
        <f t="shared" si="1"/>
        <v>1</v>
      </c>
      <c r="F27" s="14">
        <v>1</v>
      </c>
      <c r="G27" s="14">
        <v>1</v>
      </c>
      <c r="H27" s="9">
        <v>1</v>
      </c>
      <c r="I27" s="9">
        <v>1</v>
      </c>
      <c r="J27" s="9">
        <v>1</v>
      </c>
      <c r="K27" s="9">
        <v>1</v>
      </c>
      <c r="L27" s="15">
        <v>0</v>
      </c>
      <c r="M27" s="9">
        <v>1</v>
      </c>
      <c r="N27" s="9">
        <v>1</v>
      </c>
      <c r="O27" s="9">
        <v>1</v>
      </c>
      <c r="P27" s="15">
        <v>1</v>
      </c>
    </row>
    <row r="28" spans="1:17" x14ac:dyDescent="0.2">
      <c r="A28" s="20">
        <v>27</v>
      </c>
      <c r="B28" s="21" t="s">
        <v>55</v>
      </c>
      <c r="C28" s="21" t="s">
        <v>56</v>
      </c>
      <c r="D28" s="21">
        <f t="shared" si="0"/>
        <v>0.3</v>
      </c>
      <c r="E28" s="24">
        <f t="shared" si="1"/>
        <v>2</v>
      </c>
      <c r="F28" s="15">
        <v>0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1</v>
      </c>
      <c r="P28" s="15">
        <v>0</v>
      </c>
    </row>
    <row r="29" spans="1:17" x14ac:dyDescent="0.2">
      <c r="A29" s="20">
        <v>28</v>
      </c>
      <c r="B29" s="21" t="s">
        <v>57</v>
      </c>
      <c r="C29" s="21" t="s">
        <v>58</v>
      </c>
      <c r="D29" s="21">
        <f t="shared" si="0"/>
        <v>0.5</v>
      </c>
      <c r="E29" s="24">
        <f t="shared" si="1"/>
        <v>0</v>
      </c>
      <c r="F29" s="14">
        <v>1</v>
      </c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9">
        <v>1</v>
      </c>
    </row>
    <row r="30" spans="1:17" ht="25.5" x14ac:dyDescent="0.2">
      <c r="A30" s="20">
        <v>29</v>
      </c>
      <c r="B30" s="21" t="s">
        <v>59</v>
      </c>
      <c r="C30" s="21" t="s">
        <v>60</v>
      </c>
      <c r="D30" s="21">
        <f t="shared" si="0"/>
        <v>0.5</v>
      </c>
      <c r="E30" s="24">
        <f t="shared" si="1"/>
        <v>0</v>
      </c>
      <c r="F30" s="14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</row>
    <row r="31" spans="1:17" x14ac:dyDescent="0.2">
      <c r="A31" s="20">
        <v>30</v>
      </c>
      <c r="B31" s="21" t="s">
        <v>61</v>
      </c>
      <c r="C31" s="21" t="s">
        <v>62</v>
      </c>
      <c r="D31" s="21">
        <f t="shared" si="0"/>
        <v>0.5</v>
      </c>
      <c r="E31" s="24">
        <f t="shared" si="1"/>
        <v>0</v>
      </c>
      <c r="F31" s="14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9">
        <v>1</v>
      </c>
    </row>
    <row r="32" spans="1:17" x14ac:dyDescent="0.2">
      <c r="A32" s="22">
        <v>31</v>
      </c>
      <c r="B32" s="23" t="s">
        <v>63</v>
      </c>
      <c r="C32" s="23" t="s">
        <v>64</v>
      </c>
      <c r="D32" s="21">
        <f t="shared" si="0"/>
        <v>0.5</v>
      </c>
      <c r="E32" s="24">
        <f t="shared" si="1"/>
        <v>0</v>
      </c>
      <c r="F32" s="17">
        <v>1</v>
      </c>
      <c r="G32" s="18">
        <v>1</v>
      </c>
      <c r="H32" s="18">
        <v>1</v>
      </c>
      <c r="I32" s="18">
        <v>1</v>
      </c>
      <c r="J32" s="18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9">
        <v>1</v>
      </c>
    </row>
    <row r="33" spans="1:16" x14ac:dyDescent="0.2">
      <c r="A33" s="20">
        <v>32</v>
      </c>
      <c r="B33" s="21" t="s">
        <v>65</v>
      </c>
      <c r="C33" s="21" t="s">
        <v>66</v>
      </c>
      <c r="D33" s="21">
        <f t="shared" si="0"/>
        <v>0.5</v>
      </c>
      <c r="E33" s="24">
        <f t="shared" si="1"/>
        <v>0</v>
      </c>
      <c r="F33" s="14">
        <v>1</v>
      </c>
      <c r="G33" s="9">
        <v>1</v>
      </c>
      <c r="H33" s="9">
        <v>1</v>
      </c>
      <c r="I33" s="9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9">
        <v>1</v>
      </c>
    </row>
    <row r="34" spans="1:16" x14ac:dyDescent="0.2">
      <c r="A34" s="20">
        <v>33</v>
      </c>
      <c r="B34" s="21" t="s">
        <v>67</v>
      </c>
      <c r="C34" s="21" t="s">
        <v>68</v>
      </c>
      <c r="D34" s="21">
        <f t="shared" si="0"/>
        <v>0.4</v>
      </c>
      <c r="E34" s="24">
        <f t="shared" si="1"/>
        <v>1</v>
      </c>
      <c r="F34" s="14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15">
        <v>0</v>
      </c>
      <c r="M34" s="9">
        <v>1</v>
      </c>
      <c r="N34" s="9">
        <v>1</v>
      </c>
      <c r="O34" s="9">
        <v>1</v>
      </c>
      <c r="P34" s="9">
        <v>1</v>
      </c>
    </row>
    <row r="35" spans="1:16" x14ac:dyDescent="0.2">
      <c r="A35" s="20">
        <v>34</v>
      </c>
      <c r="B35" s="21" t="s">
        <v>69</v>
      </c>
      <c r="C35" s="21" t="s">
        <v>70</v>
      </c>
      <c r="D35" s="21">
        <f t="shared" si="0"/>
        <v>0.5</v>
      </c>
      <c r="E35" s="24">
        <f t="shared" si="1"/>
        <v>0</v>
      </c>
      <c r="F35" s="14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9">
        <v>1</v>
      </c>
      <c r="P35" s="9">
        <v>1</v>
      </c>
    </row>
    <row r="36" spans="1:16" x14ac:dyDescent="0.2">
      <c r="A36" s="20">
        <v>35</v>
      </c>
      <c r="B36" s="21" t="s">
        <v>71</v>
      </c>
      <c r="C36" s="21" t="s">
        <v>72</v>
      </c>
      <c r="D36" s="21">
        <f t="shared" si="0"/>
        <v>0.5</v>
      </c>
      <c r="E36" s="24">
        <f t="shared" si="1"/>
        <v>0</v>
      </c>
      <c r="F36" s="14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9">
        <v>1</v>
      </c>
      <c r="P36" s="9">
        <v>1</v>
      </c>
    </row>
    <row r="37" spans="1:16" x14ac:dyDescent="0.2">
      <c r="A37" s="20">
        <v>36</v>
      </c>
      <c r="B37" s="21" t="s">
        <v>73</v>
      </c>
      <c r="C37" s="21" t="s">
        <v>74</v>
      </c>
      <c r="D37" s="21">
        <f t="shared" si="0"/>
        <v>0.5</v>
      </c>
      <c r="E37" s="24">
        <f t="shared" si="1"/>
        <v>0</v>
      </c>
      <c r="F37" s="9">
        <v>1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  <c r="M37" s="9">
        <v>1</v>
      </c>
      <c r="N37" s="9">
        <v>1</v>
      </c>
      <c r="O37" s="9">
        <v>1</v>
      </c>
      <c r="P37" s="9">
        <v>1</v>
      </c>
    </row>
    <row r="38" spans="1:16" x14ac:dyDescent="0.2">
      <c r="A38" s="20">
        <v>37</v>
      </c>
      <c r="B38" s="21" t="s">
        <v>75</v>
      </c>
      <c r="C38" s="21" t="s">
        <v>76</v>
      </c>
      <c r="D38" s="21">
        <f t="shared" si="0"/>
        <v>0.5</v>
      </c>
      <c r="E38" s="24">
        <f t="shared" si="1"/>
        <v>0</v>
      </c>
      <c r="F38" s="14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</row>
    <row r="39" spans="1:16" x14ac:dyDescent="0.2">
      <c r="A39" s="20">
        <v>38</v>
      </c>
      <c r="B39" s="21" t="s">
        <v>77</v>
      </c>
      <c r="C39" s="21" t="s">
        <v>78</v>
      </c>
      <c r="D39" s="21">
        <f t="shared" si="0"/>
        <v>0.5</v>
      </c>
      <c r="E39" s="24">
        <f t="shared" si="1"/>
        <v>0</v>
      </c>
      <c r="F39" s="14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9">
        <v>1</v>
      </c>
      <c r="P39" s="9">
        <v>1</v>
      </c>
    </row>
    <row r="40" spans="1:16" x14ac:dyDescent="0.2">
      <c r="A40" s="20">
        <v>39</v>
      </c>
      <c r="B40" s="21" t="s">
        <v>79</v>
      </c>
      <c r="C40" s="21" t="s">
        <v>80</v>
      </c>
      <c r="D40" s="21">
        <f t="shared" si="0"/>
        <v>0.5</v>
      </c>
      <c r="E40" s="24">
        <f t="shared" si="1"/>
        <v>0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</row>
    <row r="41" spans="1:16" x14ac:dyDescent="0.2">
      <c r="A41" s="20">
        <v>40</v>
      </c>
      <c r="B41" s="21" t="s">
        <v>81</v>
      </c>
      <c r="C41" s="21" t="s">
        <v>82</v>
      </c>
      <c r="D41" s="21">
        <f t="shared" si="0"/>
        <v>0.5</v>
      </c>
      <c r="E41" s="24">
        <f t="shared" si="1"/>
        <v>0</v>
      </c>
      <c r="F41" s="14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  <c r="O41" s="9">
        <v>1</v>
      </c>
      <c r="P41" s="9">
        <v>1</v>
      </c>
    </row>
    <row r="42" spans="1:16" x14ac:dyDescent="0.2">
      <c r="A42" s="20">
        <v>41</v>
      </c>
      <c r="B42" s="21" t="s">
        <v>83</v>
      </c>
      <c r="C42" s="21" t="s">
        <v>84</v>
      </c>
      <c r="D42" s="21">
        <f t="shared" si="0"/>
        <v>0.4</v>
      </c>
      <c r="E42" s="24">
        <f t="shared" si="1"/>
        <v>1</v>
      </c>
      <c r="F42" s="14">
        <v>1</v>
      </c>
      <c r="G42" s="9">
        <v>1</v>
      </c>
      <c r="H42" s="15">
        <v>0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9">
        <v>1</v>
      </c>
    </row>
    <row r="43" spans="1:16" x14ac:dyDescent="0.2">
      <c r="A43" s="20">
        <v>42</v>
      </c>
      <c r="B43" s="21" t="s">
        <v>85</v>
      </c>
      <c r="C43" s="21" t="s">
        <v>86</v>
      </c>
      <c r="D43" s="21">
        <f t="shared" si="0"/>
        <v>0.5</v>
      </c>
      <c r="E43" s="24">
        <f t="shared" si="1"/>
        <v>0</v>
      </c>
      <c r="F43" s="14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</row>
    <row r="44" spans="1:16" x14ac:dyDescent="0.2">
      <c r="A44" s="20">
        <v>43</v>
      </c>
      <c r="B44" s="21" t="s">
        <v>87</v>
      </c>
      <c r="C44" s="21" t="s">
        <v>88</v>
      </c>
      <c r="D44" s="21">
        <f t="shared" si="0"/>
        <v>0.5</v>
      </c>
      <c r="E44" s="24">
        <f t="shared" si="1"/>
        <v>0</v>
      </c>
      <c r="F44" s="14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</row>
    <row r="45" spans="1:16" x14ac:dyDescent="0.2">
      <c r="A45" s="20">
        <v>44</v>
      </c>
      <c r="B45" s="21" t="s">
        <v>89</v>
      </c>
      <c r="C45" s="21" t="s">
        <v>90</v>
      </c>
      <c r="D45" s="21">
        <f t="shared" si="0"/>
        <v>0.5</v>
      </c>
      <c r="E45" s="24">
        <f t="shared" si="1"/>
        <v>0</v>
      </c>
      <c r="F45" s="14">
        <v>1</v>
      </c>
      <c r="G45" s="9">
        <v>1</v>
      </c>
      <c r="H45" s="9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9">
        <v>1</v>
      </c>
      <c r="P45" s="9">
        <v>1</v>
      </c>
    </row>
    <row r="46" spans="1:16" x14ac:dyDescent="0.2">
      <c r="A46" s="20">
        <v>45</v>
      </c>
      <c r="B46" s="21" t="s">
        <v>91</v>
      </c>
      <c r="C46" s="21" t="s">
        <v>92</v>
      </c>
      <c r="D46" s="21">
        <f t="shared" si="0"/>
        <v>0.5</v>
      </c>
      <c r="E46" s="24">
        <f t="shared" si="1"/>
        <v>0</v>
      </c>
      <c r="F46" s="14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v>1</v>
      </c>
      <c r="P46" s="9">
        <v>1</v>
      </c>
    </row>
    <row r="47" spans="1:16" x14ac:dyDescent="0.2">
      <c r="A47" s="20">
        <v>46</v>
      </c>
      <c r="B47" s="21" t="s">
        <v>93</v>
      </c>
      <c r="C47" s="21" t="s">
        <v>94</v>
      </c>
      <c r="D47" s="21" t="str">
        <f t="shared" si="0"/>
        <v>Cấm thi</v>
      </c>
      <c r="E47" s="24">
        <f t="shared" si="1"/>
        <v>10</v>
      </c>
      <c r="F47" s="15">
        <v>0</v>
      </c>
      <c r="G47" s="15">
        <v>0</v>
      </c>
      <c r="H47" s="15">
        <v>0</v>
      </c>
      <c r="I47" s="9">
        <v>1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</row>
    <row r="48" spans="1:16" x14ac:dyDescent="0.2">
      <c r="A48" s="20">
        <v>47</v>
      </c>
      <c r="B48" s="21" t="s">
        <v>95</v>
      </c>
      <c r="C48" s="21" t="s">
        <v>96</v>
      </c>
      <c r="D48" s="21">
        <f t="shared" si="0"/>
        <v>0.5</v>
      </c>
      <c r="E48" s="24">
        <f t="shared" si="1"/>
        <v>0</v>
      </c>
      <c r="F48" s="14">
        <v>1</v>
      </c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9">
        <v>1</v>
      </c>
      <c r="P48" s="9">
        <v>1</v>
      </c>
    </row>
    <row r="49" spans="1:16" x14ac:dyDescent="0.2">
      <c r="A49" s="20">
        <v>48</v>
      </c>
      <c r="B49" s="21" t="s">
        <v>97</v>
      </c>
      <c r="C49" s="21" t="s">
        <v>98</v>
      </c>
      <c r="D49" s="21">
        <f t="shared" si="0"/>
        <v>0.5</v>
      </c>
      <c r="E49" s="24">
        <f t="shared" si="1"/>
        <v>0</v>
      </c>
      <c r="F49" s="14">
        <v>1</v>
      </c>
      <c r="G49" s="9">
        <v>1</v>
      </c>
      <c r="H49" s="9">
        <v>1</v>
      </c>
      <c r="I49" s="9">
        <v>1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9">
        <v>1</v>
      </c>
      <c r="P49" s="9">
        <v>1</v>
      </c>
    </row>
    <row r="50" spans="1:16" x14ac:dyDescent="0.2">
      <c r="A50" s="20">
        <v>49</v>
      </c>
      <c r="B50" s="21" t="s">
        <v>99</v>
      </c>
      <c r="C50" s="21" t="s">
        <v>100</v>
      </c>
      <c r="D50" s="21">
        <f t="shared" si="0"/>
        <v>0.4</v>
      </c>
      <c r="E50" s="24">
        <f t="shared" si="1"/>
        <v>1</v>
      </c>
      <c r="F50" s="14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15">
        <v>0</v>
      </c>
    </row>
    <row r="51" spans="1:16" x14ac:dyDescent="0.2">
      <c r="A51" s="20">
        <v>50</v>
      </c>
      <c r="B51" s="21" t="s">
        <v>101</v>
      </c>
      <c r="C51" s="21" t="s">
        <v>102</v>
      </c>
      <c r="D51" s="21">
        <f t="shared" si="0"/>
        <v>0.5</v>
      </c>
      <c r="E51" s="24">
        <f t="shared" si="1"/>
        <v>0</v>
      </c>
      <c r="F51" s="14">
        <v>1</v>
      </c>
      <c r="G51" s="9">
        <v>1</v>
      </c>
      <c r="H51" s="9">
        <v>1</v>
      </c>
      <c r="I51" s="9">
        <v>1</v>
      </c>
      <c r="J51" s="9">
        <v>1</v>
      </c>
      <c r="K51" s="9">
        <v>1</v>
      </c>
      <c r="L51" s="15">
        <v>1</v>
      </c>
      <c r="M51" s="9">
        <v>1</v>
      </c>
      <c r="N51" s="9">
        <v>1</v>
      </c>
      <c r="O51" s="9">
        <v>1</v>
      </c>
      <c r="P51" s="9">
        <v>1</v>
      </c>
    </row>
    <row r="52" spans="1:16" x14ac:dyDescent="0.2">
      <c r="A52" s="20">
        <v>51</v>
      </c>
      <c r="B52" s="21" t="s">
        <v>103</v>
      </c>
      <c r="C52" s="21" t="s">
        <v>104</v>
      </c>
      <c r="D52" s="21">
        <f t="shared" si="0"/>
        <v>0.5</v>
      </c>
      <c r="E52" s="24">
        <f t="shared" si="1"/>
        <v>0</v>
      </c>
      <c r="F52" s="14">
        <v>1</v>
      </c>
      <c r="G52" s="9">
        <v>1</v>
      </c>
      <c r="H52" s="9">
        <v>1</v>
      </c>
      <c r="I52" s="9">
        <v>1</v>
      </c>
      <c r="J52" s="9">
        <v>1</v>
      </c>
      <c r="K52" s="9">
        <v>1</v>
      </c>
      <c r="L52" s="9">
        <v>1</v>
      </c>
      <c r="M52" s="9">
        <v>1</v>
      </c>
      <c r="N52" s="9">
        <v>1</v>
      </c>
      <c r="O52" s="9">
        <v>1</v>
      </c>
      <c r="P52" s="9">
        <v>1</v>
      </c>
    </row>
    <row r="53" spans="1:16" x14ac:dyDescent="0.2">
      <c r="A53" s="20">
        <v>52</v>
      </c>
      <c r="B53" s="21" t="s">
        <v>105</v>
      </c>
      <c r="C53" s="21" t="s">
        <v>106</v>
      </c>
      <c r="D53" s="21">
        <f t="shared" si="0"/>
        <v>0.5</v>
      </c>
      <c r="E53" s="24">
        <f t="shared" si="1"/>
        <v>0</v>
      </c>
      <c r="F53" s="14">
        <v>1</v>
      </c>
      <c r="G53" s="9">
        <v>1</v>
      </c>
      <c r="H53" s="9">
        <v>1</v>
      </c>
      <c r="I53" s="9">
        <v>1</v>
      </c>
      <c r="J53" s="9">
        <v>1</v>
      </c>
      <c r="K53" s="9">
        <v>1</v>
      </c>
      <c r="L53" s="9">
        <v>1</v>
      </c>
      <c r="M53" s="9">
        <v>1</v>
      </c>
      <c r="N53" s="9">
        <v>1</v>
      </c>
      <c r="O53" s="9">
        <v>1</v>
      </c>
      <c r="P53" s="9">
        <v>1</v>
      </c>
    </row>
    <row r="54" spans="1:16" x14ac:dyDescent="0.2">
      <c r="A54" s="20">
        <v>53</v>
      </c>
      <c r="B54" s="21" t="s">
        <v>107</v>
      </c>
      <c r="C54" s="21" t="s">
        <v>108</v>
      </c>
      <c r="D54" s="21">
        <f t="shared" si="0"/>
        <v>0.5</v>
      </c>
      <c r="E54" s="24">
        <f t="shared" si="1"/>
        <v>0</v>
      </c>
      <c r="F54" s="14">
        <v>1</v>
      </c>
      <c r="G54" s="9">
        <v>1</v>
      </c>
      <c r="H54" s="9">
        <v>1</v>
      </c>
      <c r="I54" s="9">
        <v>1</v>
      </c>
      <c r="J54" s="9">
        <v>1</v>
      </c>
      <c r="K54" s="9">
        <v>1</v>
      </c>
      <c r="L54" s="9">
        <v>1</v>
      </c>
      <c r="M54" s="9">
        <v>1</v>
      </c>
      <c r="N54" s="9">
        <v>1</v>
      </c>
      <c r="O54" s="9">
        <v>1</v>
      </c>
      <c r="P54" s="9">
        <v>1</v>
      </c>
    </row>
    <row r="55" spans="1:16" x14ac:dyDescent="0.2">
      <c r="A55" s="20">
        <v>54</v>
      </c>
      <c r="B55" s="21" t="s">
        <v>109</v>
      </c>
      <c r="C55" s="21" t="s">
        <v>110</v>
      </c>
      <c r="D55" s="21" t="str">
        <f t="shared" si="0"/>
        <v>Cấm thi</v>
      </c>
      <c r="E55" s="24">
        <f t="shared" si="1"/>
        <v>4</v>
      </c>
      <c r="F55" s="14">
        <v>1</v>
      </c>
      <c r="G55" s="15">
        <v>0</v>
      </c>
      <c r="H55" s="9">
        <v>1</v>
      </c>
      <c r="I55" s="9">
        <v>1</v>
      </c>
      <c r="J55" s="9">
        <v>1</v>
      </c>
      <c r="K55" s="15">
        <v>0</v>
      </c>
      <c r="L55" s="9">
        <v>1</v>
      </c>
      <c r="M55" s="9">
        <v>1</v>
      </c>
      <c r="N55" s="9">
        <v>1</v>
      </c>
      <c r="O55" s="15">
        <v>0</v>
      </c>
      <c r="P55" s="15">
        <v>0</v>
      </c>
    </row>
    <row r="56" spans="1:16" x14ac:dyDescent="0.2">
      <c r="A56" s="20">
        <v>55</v>
      </c>
      <c r="B56" s="21" t="s">
        <v>111</v>
      </c>
      <c r="C56" s="21" t="s">
        <v>112</v>
      </c>
      <c r="D56" s="21">
        <f t="shared" si="0"/>
        <v>0.5</v>
      </c>
      <c r="E56" s="24">
        <f t="shared" si="1"/>
        <v>0</v>
      </c>
      <c r="F56" s="14">
        <v>1</v>
      </c>
      <c r="G56" s="9">
        <v>1</v>
      </c>
      <c r="H56" s="9">
        <v>1</v>
      </c>
      <c r="I56" s="9">
        <v>1</v>
      </c>
      <c r="J56" s="9">
        <v>1</v>
      </c>
      <c r="K56" s="9">
        <v>1</v>
      </c>
      <c r="L56" s="9">
        <v>1</v>
      </c>
      <c r="M56" s="15">
        <v>1</v>
      </c>
      <c r="N56" s="15">
        <v>1</v>
      </c>
      <c r="O56" s="9">
        <v>1</v>
      </c>
      <c r="P56" s="9">
        <v>1</v>
      </c>
    </row>
    <row r="57" spans="1:16" x14ac:dyDescent="0.2">
      <c r="A57" s="20">
        <v>56</v>
      </c>
      <c r="B57" s="21" t="s">
        <v>113</v>
      </c>
      <c r="C57" s="21" t="s">
        <v>114</v>
      </c>
      <c r="D57" s="21">
        <f t="shared" si="0"/>
        <v>0.5</v>
      </c>
      <c r="E57" s="24">
        <f t="shared" si="1"/>
        <v>0</v>
      </c>
      <c r="F57" s="14">
        <v>1</v>
      </c>
      <c r="G57" s="9">
        <v>1</v>
      </c>
      <c r="H57" s="9">
        <v>1</v>
      </c>
      <c r="I57" s="9">
        <v>1</v>
      </c>
      <c r="J57" s="9">
        <v>1</v>
      </c>
      <c r="K57" s="9">
        <v>1</v>
      </c>
      <c r="L57" s="9">
        <v>1</v>
      </c>
      <c r="M57" s="9">
        <v>1</v>
      </c>
      <c r="N57" s="9">
        <v>1</v>
      </c>
      <c r="O57" s="9">
        <v>1</v>
      </c>
      <c r="P57" s="9">
        <v>1</v>
      </c>
    </row>
    <row r="58" spans="1:16" x14ac:dyDescent="0.2">
      <c r="A58" s="20">
        <v>57</v>
      </c>
      <c r="B58" s="21" t="s">
        <v>115</v>
      </c>
      <c r="C58" s="21" t="s">
        <v>116</v>
      </c>
      <c r="D58" s="21">
        <f t="shared" si="0"/>
        <v>0.5</v>
      </c>
      <c r="E58" s="24">
        <f t="shared" si="1"/>
        <v>0</v>
      </c>
      <c r="F58" s="14">
        <v>1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9">
        <v>1</v>
      </c>
      <c r="N58" s="9">
        <v>1</v>
      </c>
      <c r="O58" s="9">
        <v>1</v>
      </c>
      <c r="P58" s="9">
        <v>1</v>
      </c>
    </row>
    <row r="59" spans="1:16" x14ac:dyDescent="0.2">
      <c r="A59" s="20">
        <v>58</v>
      </c>
      <c r="B59" s="21" t="s">
        <v>117</v>
      </c>
      <c r="C59" s="21" t="s">
        <v>118</v>
      </c>
      <c r="D59" s="21">
        <f t="shared" si="0"/>
        <v>0.5</v>
      </c>
      <c r="E59" s="24">
        <f t="shared" si="1"/>
        <v>0</v>
      </c>
      <c r="F59" s="14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N59" s="9">
        <v>1</v>
      </c>
      <c r="O59" s="9">
        <v>1</v>
      </c>
      <c r="P59" s="9">
        <v>1</v>
      </c>
    </row>
    <row r="60" spans="1:16" x14ac:dyDescent="0.2">
      <c r="A60" s="20">
        <v>59</v>
      </c>
      <c r="B60" s="21" t="s">
        <v>119</v>
      </c>
      <c r="C60" s="21" t="s">
        <v>120</v>
      </c>
      <c r="D60" s="21">
        <f t="shared" si="0"/>
        <v>0.5</v>
      </c>
      <c r="E60" s="24">
        <f t="shared" si="1"/>
        <v>0</v>
      </c>
      <c r="F60" s="14">
        <v>1</v>
      </c>
      <c r="G60" s="9">
        <v>1</v>
      </c>
      <c r="H60" s="9">
        <v>1</v>
      </c>
      <c r="I60" s="9">
        <v>1</v>
      </c>
      <c r="J60" s="9">
        <v>1</v>
      </c>
      <c r="K60" s="9">
        <v>1</v>
      </c>
      <c r="L60" s="9">
        <v>1</v>
      </c>
      <c r="M60" s="9">
        <v>1</v>
      </c>
      <c r="N60" s="9">
        <v>1</v>
      </c>
      <c r="O60" s="9">
        <v>1</v>
      </c>
      <c r="P60" s="9">
        <v>1</v>
      </c>
    </row>
    <row r="61" spans="1:16" x14ac:dyDescent="0.2">
      <c r="A61" s="20">
        <v>60</v>
      </c>
      <c r="B61" s="21" t="s">
        <v>121</v>
      </c>
      <c r="C61" s="21" t="s">
        <v>122</v>
      </c>
      <c r="D61" s="21">
        <f t="shared" si="0"/>
        <v>0.5</v>
      </c>
      <c r="E61" s="24">
        <f t="shared" si="1"/>
        <v>0</v>
      </c>
      <c r="F61" s="14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</row>
    <row r="62" spans="1:16" x14ac:dyDescent="0.2">
      <c r="A62" s="20">
        <v>61</v>
      </c>
      <c r="B62" s="21" t="s">
        <v>123</v>
      </c>
      <c r="C62" s="21" t="s">
        <v>124</v>
      </c>
      <c r="D62" s="21">
        <f t="shared" si="0"/>
        <v>0.5</v>
      </c>
      <c r="E62" s="24">
        <f t="shared" si="1"/>
        <v>0</v>
      </c>
      <c r="F62" s="14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  <c r="O62" s="9">
        <v>1</v>
      </c>
      <c r="P62" s="9">
        <v>1</v>
      </c>
    </row>
    <row r="63" spans="1:16" x14ac:dyDescent="0.2">
      <c r="A63" s="20">
        <v>62</v>
      </c>
      <c r="B63" s="21" t="s">
        <v>125</v>
      </c>
      <c r="C63" s="21" t="s">
        <v>126</v>
      </c>
      <c r="D63" s="21">
        <f t="shared" si="0"/>
        <v>0.5</v>
      </c>
      <c r="E63" s="24">
        <f t="shared" si="1"/>
        <v>0</v>
      </c>
      <c r="F63" s="14">
        <v>1</v>
      </c>
      <c r="G63" s="9">
        <v>1</v>
      </c>
      <c r="H63" s="9">
        <v>1</v>
      </c>
      <c r="I63" s="9">
        <v>1</v>
      </c>
      <c r="J63" s="9">
        <v>1</v>
      </c>
      <c r="K63" s="9">
        <v>1</v>
      </c>
      <c r="L63" s="9">
        <v>1</v>
      </c>
      <c r="M63" s="9">
        <v>1</v>
      </c>
      <c r="N63" s="9">
        <v>1</v>
      </c>
      <c r="O63" s="9">
        <v>1</v>
      </c>
      <c r="P63" s="9">
        <v>1</v>
      </c>
    </row>
    <row r="64" spans="1:16" x14ac:dyDescent="0.2">
      <c r="A64" s="20">
        <v>63</v>
      </c>
      <c r="B64" s="21" t="s">
        <v>127</v>
      </c>
      <c r="C64" s="21" t="s">
        <v>128</v>
      </c>
      <c r="D64" s="21">
        <f t="shared" si="0"/>
        <v>0.5</v>
      </c>
      <c r="E64" s="24">
        <f t="shared" si="1"/>
        <v>0</v>
      </c>
      <c r="F64" s="14">
        <v>1</v>
      </c>
      <c r="G64" s="9">
        <v>1</v>
      </c>
      <c r="H64" s="9">
        <v>1</v>
      </c>
      <c r="I64" s="9">
        <v>1</v>
      </c>
      <c r="J64" s="9">
        <v>1</v>
      </c>
      <c r="K64" s="9">
        <v>1</v>
      </c>
      <c r="L64" s="9">
        <v>1</v>
      </c>
      <c r="M64" s="9">
        <v>1</v>
      </c>
      <c r="N64" s="9">
        <v>1</v>
      </c>
      <c r="O64" s="9">
        <v>1</v>
      </c>
      <c r="P64" s="9">
        <v>1</v>
      </c>
    </row>
    <row r="65" spans="1:16" x14ac:dyDescent="0.2">
      <c r="A65" s="20">
        <v>64</v>
      </c>
      <c r="B65" s="21" t="s">
        <v>129</v>
      </c>
      <c r="C65" s="21" t="s">
        <v>130</v>
      </c>
      <c r="D65" s="21">
        <f t="shared" si="0"/>
        <v>0.5</v>
      </c>
      <c r="E65" s="24">
        <f t="shared" si="1"/>
        <v>0</v>
      </c>
      <c r="F65" s="14">
        <v>1</v>
      </c>
      <c r="G65" s="9">
        <v>1</v>
      </c>
      <c r="H65" s="9">
        <v>1</v>
      </c>
      <c r="I65" s="9">
        <v>1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  <c r="O65" s="9">
        <v>1</v>
      </c>
      <c r="P65" s="9">
        <v>1</v>
      </c>
    </row>
    <row r="66" spans="1:16" x14ac:dyDescent="0.2">
      <c r="A66" s="20">
        <v>65</v>
      </c>
      <c r="B66" s="21" t="s">
        <v>131</v>
      </c>
      <c r="C66" s="21" t="s">
        <v>132</v>
      </c>
      <c r="D66" s="21">
        <f t="shared" si="0"/>
        <v>0.5</v>
      </c>
      <c r="E66" s="24">
        <f t="shared" si="1"/>
        <v>0</v>
      </c>
      <c r="F66" s="14">
        <v>1</v>
      </c>
      <c r="G66" s="9">
        <v>1</v>
      </c>
      <c r="H66" s="9">
        <v>1</v>
      </c>
      <c r="I66" s="9">
        <v>1</v>
      </c>
      <c r="J66" s="9">
        <v>1</v>
      </c>
      <c r="K66" s="9">
        <v>1</v>
      </c>
      <c r="L66" s="9">
        <v>1</v>
      </c>
      <c r="M66" s="9">
        <v>1</v>
      </c>
      <c r="N66" s="9">
        <v>1</v>
      </c>
      <c r="O66" s="9">
        <v>1</v>
      </c>
      <c r="P66" s="9">
        <v>1</v>
      </c>
    </row>
    <row r="67" spans="1:16" x14ac:dyDescent="0.2">
      <c r="A67" s="20">
        <v>66</v>
      </c>
      <c r="B67" s="21" t="s">
        <v>133</v>
      </c>
      <c r="C67" s="21" t="s">
        <v>134</v>
      </c>
      <c r="D67" s="21">
        <f t="shared" ref="D67:D93" si="2">IF(E67=0,0.5,IF(E67=1,0.4,IF(E67=2,0.3,IF(E67=3,0.2,"Cấm thi"))))</f>
        <v>0.5</v>
      </c>
      <c r="E67" s="24">
        <f t="shared" ref="E67:E93" si="3">COUNTIF(F67:P67,0)</f>
        <v>0</v>
      </c>
      <c r="F67" s="14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</row>
    <row r="68" spans="1:16" x14ac:dyDescent="0.2">
      <c r="A68" s="20">
        <v>67</v>
      </c>
      <c r="B68" s="21" t="s">
        <v>135</v>
      </c>
      <c r="C68" s="21" t="s">
        <v>136</v>
      </c>
      <c r="D68" s="21">
        <f t="shared" si="2"/>
        <v>0.3</v>
      </c>
      <c r="E68" s="24">
        <f t="shared" si="3"/>
        <v>2</v>
      </c>
      <c r="F68" s="14">
        <v>1</v>
      </c>
      <c r="G68" s="15">
        <v>0</v>
      </c>
      <c r="H68" s="9">
        <v>1</v>
      </c>
      <c r="I68" s="9">
        <v>1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  <c r="O68" s="15">
        <v>0</v>
      </c>
      <c r="P68" s="9">
        <v>1</v>
      </c>
    </row>
    <row r="69" spans="1:16" x14ac:dyDescent="0.2">
      <c r="A69" s="20">
        <v>68</v>
      </c>
      <c r="B69" s="21" t="s">
        <v>137</v>
      </c>
      <c r="C69" s="21" t="s">
        <v>138</v>
      </c>
      <c r="D69" s="21">
        <f t="shared" si="2"/>
        <v>0.5</v>
      </c>
      <c r="E69" s="24">
        <f t="shared" si="3"/>
        <v>0</v>
      </c>
      <c r="F69" s="14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</row>
    <row r="70" spans="1:16" x14ac:dyDescent="0.2">
      <c r="A70" s="20">
        <v>69</v>
      </c>
      <c r="B70" s="21" t="s">
        <v>139</v>
      </c>
      <c r="C70" s="21" t="s">
        <v>140</v>
      </c>
      <c r="D70" s="21">
        <f t="shared" si="2"/>
        <v>0.5</v>
      </c>
      <c r="E70" s="24">
        <f t="shared" si="3"/>
        <v>0</v>
      </c>
      <c r="F70" s="14">
        <v>1</v>
      </c>
      <c r="G70" s="9">
        <v>1</v>
      </c>
      <c r="H70" s="9">
        <v>1</v>
      </c>
      <c r="I70" s="9">
        <v>1</v>
      </c>
      <c r="J70" s="9">
        <v>1</v>
      </c>
      <c r="K70" s="9">
        <v>1</v>
      </c>
      <c r="L70" s="9">
        <v>1</v>
      </c>
      <c r="M70" s="9">
        <v>1</v>
      </c>
      <c r="N70" s="9">
        <v>1</v>
      </c>
      <c r="O70" s="9">
        <v>1</v>
      </c>
      <c r="P70" s="9">
        <v>1</v>
      </c>
    </row>
    <row r="71" spans="1:16" x14ac:dyDescent="0.2">
      <c r="A71" s="20">
        <v>70</v>
      </c>
      <c r="B71" s="21" t="s">
        <v>141</v>
      </c>
      <c r="C71" s="21" t="s">
        <v>140</v>
      </c>
      <c r="D71" s="21">
        <f t="shared" si="2"/>
        <v>0.5</v>
      </c>
      <c r="E71" s="24">
        <f t="shared" si="3"/>
        <v>0</v>
      </c>
      <c r="F71" s="14">
        <v>1</v>
      </c>
      <c r="G71" s="9">
        <v>1</v>
      </c>
      <c r="H71" s="9">
        <v>1</v>
      </c>
      <c r="I71" s="9">
        <v>1</v>
      </c>
      <c r="J71" s="9">
        <v>1</v>
      </c>
      <c r="K71" s="9">
        <v>1</v>
      </c>
      <c r="L71" s="9">
        <v>1</v>
      </c>
      <c r="M71" s="9">
        <v>1</v>
      </c>
      <c r="N71" s="9">
        <v>1</v>
      </c>
      <c r="O71" s="9">
        <v>1</v>
      </c>
      <c r="P71" s="9">
        <v>1</v>
      </c>
    </row>
    <row r="72" spans="1:16" x14ac:dyDescent="0.2">
      <c r="A72" s="20">
        <v>71</v>
      </c>
      <c r="B72" s="21" t="s">
        <v>142</v>
      </c>
      <c r="C72" s="21" t="s">
        <v>143</v>
      </c>
      <c r="D72" s="21">
        <f t="shared" si="2"/>
        <v>0.5</v>
      </c>
      <c r="E72" s="24">
        <f t="shared" si="3"/>
        <v>0</v>
      </c>
      <c r="F72" s="14">
        <v>1</v>
      </c>
      <c r="G72" s="9">
        <v>1</v>
      </c>
      <c r="H72" s="9">
        <v>1</v>
      </c>
      <c r="I72" s="9">
        <v>1</v>
      </c>
      <c r="J72" s="9">
        <v>1</v>
      </c>
      <c r="K72" s="9">
        <v>1</v>
      </c>
      <c r="L72" s="9">
        <v>1</v>
      </c>
      <c r="M72" s="9">
        <v>1</v>
      </c>
      <c r="N72" s="9">
        <v>1</v>
      </c>
      <c r="O72" s="9">
        <v>1</v>
      </c>
      <c r="P72" s="9">
        <v>1</v>
      </c>
    </row>
    <row r="73" spans="1:16" x14ac:dyDescent="0.2">
      <c r="A73" s="20">
        <v>72</v>
      </c>
      <c r="B73" s="21" t="s">
        <v>144</v>
      </c>
      <c r="C73" s="21" t="s">
        <v>145</v>
      </c>
      <c r="D73" s="21">
        <f t="shared" si="2"/>
        <v>0.5</v>
      </c>
      <c r="E73" s="24">
        <f t="shared" si="3"/>
        <v>0</v>
      </c>
      <c r="F73" s="14">
        <v>1</v>
      </c>
      <c r="G73" s="9">
        <v>1</v>
      </c>
      <c r="H73" s="9">
        <v>1</v>
      </c>
      <c r="I73" s="9">
        <v>1</v>
      </c>
      <c r="J73" s="9">
        <v>1</v>
      </c>
      <c r="K73" s="9">
        <v>1</v>
      </c>
      <c r="L73" s="9">
        <v>1</v>
      </c>
      <c r="M73" s="9">
        <v>1</v>
      </c>
      <c r="N73" s="9">
        <v>1</v>
      </c>
      <c r="O73" s="9">
        <v>1</v>
      </c>
      <c r="P73" s="9">
        <v>1</v>
      </c>
    </row>
    <row r="74" spans="1:16" x14ac:dyDescent="0.2">
      <c r="A74" s="20">
        <v>73</v>
      </c>
      <c r="B74" s="21" t="s">
        <v>146</v>
      </c>
      <c r="C74" s="21" t="s">
        <v>147</v>
      </c>
      <c r="D74" s="21">
        <f t="shared" si="2"/>
        <v>0.3</v>
      </c>
      <c r="E74" s="24">
        <f t="shared" si="3"/>
        <v>2</v>
      </c>
      <c r="F74" s="15">
        <v>0</v>
      </c>
      <c r="G74" s="15">
        <v>0</v>
      </c>
      <c r="H74" s="9">
        <v>1</v>
      </c>
      <c r="I74" s="9">
        <v>1</v>
      </c>
      <c r="J74" s="9">
        <v>1</v>
      </c>
      <c r="K74" s="9">
        <v>1</v>
      </c>
      <c r="L74" s="9">
        <v>1</v>
      </c>
      <c r="M74" s="9">
        <v>1</v>
      </c>
      <c r="N74" s="9">
        <v>1</v>
      </c>
      <c r="O74" s="9">
        <v>1</v>
      </c>
      <c r="P74" s="9">
        <v>1</v>
      </c>
    </row>
    <row r="75" spans="1:16" ht="25.5" x14ac:dyDescent="0.2">
      <c r="A75" s="20">
        <v>74</v>
      </c>
      <c r="B75" s="21" t="s">
        <v>148</v>
      </c>
      <c r="C75" s="21" t="s">
        <v>149</v>
      </c>
      <c r="D75" s="21">
        <f t="shared" si="2"/>
        <v>0.5</v>
      </c>
      <c r="E75" s="24">
        <f t="shared" si="3"/>
        <v>0</v>
      </c>
      <c r="F75" s="14">
        <v>1</v>
      </c>
      <c r="G75" s="9">
        <v>1</v>
      </c>
      <c r="H75" s="9">
        <v>1</v>
      </c>
      <c r="I75" s="9">
        <v>1</v>
      </c>
      <c r="J75" s="9">
        <v>1</v>
      </c>
      <c r="K75" s="9">
        <v>1</v>
      </c>
      <c r="L75" s="9">
        <v>1</v>
      </c>
      <c r="M75" s="9">
        <v>1</v>
      </c>
      <c r="N75" s="9">
        <v>1</v>
      </c>
      <c r="O75" s="9">
        <v>1</v>
      </c>
      <c r="P75" s="9">
        <v>1</v>
      </c>
    </row>
    <row r="76" spans="1:16" x14ac:dyDescent="0.2">
      <c r="A76" s="20">
        <v>75</v>
      </c>
      <c r="B76" s="21" t="s">
        <v>150</v>
      </c>
      <c r="C76" s="21" t="s">
        <v>151</v>
      </c>
      <c r="D76" s="21">
        <f t="shared" si="2"/>
        <v>0.3</v>
      </c>
      <c r="E76" s="24">
        <f t="shared" si="3"/>
        <v>2</v>
      </c>
      <c r="F76" s="15">
        <v>0</v>
      </c>
      <c r="G76" s="9">
        <v>1</v>
      </c>
      <c r="H76" s="9">
        <v>1</v>
      </c>
      <c r="I76" s="9">
        <v>1</v>
      </c>
      <c r="J76" s="9">
        <v>1</v>
      </c>
      <c r="K76" s="9">
        <v>1</v>
      </c>
      <c r="L76" s="15">
        <v>0</v>
      </c>
      <c r="M76" s="9">
        <v>1</v>
      </c>
      <c r="N76" s="9">
        <v>1</v>
      </c>
      <c r="O76" s="9">
        <v>1</v>
      </c>
      <c r="P76" s="9">
        <v>1</v>
      </c>
    </row>
    <row r="77" spans="1:16" x14ac:dyDescent="0.2">
      <c r="A77" s="20">
        <v>76</v>
      </c>
      <c r="B77" s="21" t="s">
        <v>152</v>
      </c>
      <c r="C77" s="21" t="s">
        <v>153</v>
      </c>
      <c r="D77" s="21">
        <f t="shared" si="2"/>
        <v>0.4</v>
      </c>
      <c r="E77" s="24">
        <f t="shared" si="3"/>
        <v>1</v>
      </c>
      <c r="F77" s="15">
        <v>0</v>
      </c>
      <c r="G77" s="9">
        <v>1</v>
      </c>
      <c r="H77" s="9">
        <v>1</v>
      </c>
      <c r="I77" s="9">
        <v>1</v>
      </c>
      <c r="J77" s="9">
        <v>1</v>
      </c>
      <c r="K77" s="9">
        <v>1</v>
      </c>
      <c r="L77" s="9">
        <v>1</v>
      </c>
      <c r="M77" s="9">
        <v>1</v>
      </c>
      <c r="N77" s="9">
        <v>1</v>
      </c>
      <c r="O77" s="9">
        <v>1</v>
      </c>
      <c r="P77" s="9">
        <v>1</v>
      </c>
    </row>
    <row r="78" spans="1:16" x14ac:dyDescent="0.2">
      <c r="A78" s="20">
        <v>77</v>
      </c>
      <c r="B78" s="21" t="s">
        <v>154</v>
      </c>
      <c r="C78" s="21" t="s">
        <v>155</v>
      </c>
      <c r="D78" s="21">
        <f t="shared" si="2"/>
        <v>0.5</v>
      </c>
      <c r="E78" s="24">
        <f t="shared" si="3"/>
        <v>0</v>
      </c>
      <c r="F78" s="14">
        <v>1</v>
      </c>
      <c r="G78" s="9">
        <v>1</v>
      </c>
      <c r="H78" s="9">
        <v>1</v>
      </c>
      <c r="I78" s="9">
        <v>1</v>
      </c>
      <c r="J78" s="9">
        <v>1</v>
      </c>
      <c r="K78" s="9">
        <v>1</v>
      </c>
      <c r="L78" s="9">
        <v>1</v>
      </c>
      <c r="M78" s="9">
        <v>1</v>
      </c>
      <c r="N78" s="9">
        <v>1</v>
      </c>
      <c r="O78" s="9">
        <v>1</v>
      </c>
      <c r="P78" s="9">
        <v>1</v>
      </c>
    </row>
    <row r="79" spans="1:16" x14ac:dyDescent="0.2">
      <c r="A79" s="20">
        <v>78</v>
      </c>
      <c r="B79" s="21" t="s">
        <v>156</v>
      </c>
      <c r="C79" s="21" t="s">
        <v>157</v>
      </c>
      <c r="D79" s="21">
        <f t="shared" si="2"/>
        <v>0.5</v>
      </c>
      <c r="E79" s="24">
        <f t="shared" si="3"/>
        <v>0</v>
      </c>
      <c r="F79" s="14">
        <v>1</v>
      </c>
      <c r="G79" s="9">
        <v>1</v>
      </c>
      <c r="H79" s="9">
        <v>1</v>
      </c>
      <c r="I79" s="9">
        <v>1</v>
      </c>
      <c r="J79" s="9">
        <v>1</v>
      </c>
      <c r="K79" s="9">
        <v>1</v>
      </c>
      <c r="L79" s="9">
        <v>1</v>
      </c>
      <c r="M79" s="9">
        <v>1</v>
      </c>
      <c r="N79" s="9">
        <v>1</v>
      </c>
      <c r="O79" s="9">
        <v>1</v>
      </c>
      <c r="P79" s="9">
        <v>1</v>
      </c>
    </row>
    <row r="80" spans="1:16" x14ac:dyDescent="0.2">
      <c r="A80" s="20">
        <v>79</v>
      </c>
      <c r="B80" s="21" t="s">
        <v>158</v>
      </c>
      <c r="C80" s="21" t="s">
        <v>159</v>
      </c>
      <c r="D80" s="21">
        <f t="shared" si="2"/>
        <v>0.5</v>
      </c>
      <c r="E80" s="24">
        <f t="shared" si="3"/>
        <v>0</v>
      </c>
      <c r="F80" s="14">
        <v>1</v>
      </c>
      <c r="G80" s="9">
        <v>1</v>
      </c>
      <c r="H80" s="9">
        <v>1</v>
      </c>
      <c r="I80" s="9">
        <v>1</v>
      </c>
      <c r="J80" s="9">
        <v>1</v>
      </c>
      <c r="K80" s="9">
        <v>1</v>
      </c>
      <c r="L80" s="9">
        <v>1</v>
      </c>
      <c r="M80" s="9">
        <v>1</v>
      </c>
      <c r="N80" s="9">
        <v>1</v>
      </c>
      <c r="O80" s="9">
        <v>1</v>
      </c>
      <c r="P80" s="9">
        <v>1</v>
      </c>
    </row>
    <row r="81" spans="1:16" x14ac:dyDescent="0.2">
      <c r="A81" s="20">
        <v>80</v>
      </c>
      <c r="B81" s="21" t="s">
        <v>160</v>
      </c>
      <c r="C81" s="21" t="s">
        <v>161</v>
      </c>
      <c r="D81" s="21">
        <f t="shared" si="2"/>
        <v>0.5</v>
      </c>
      <c r="E81" s="24">
        <f t="shared" si="3"/>
        <v>0</v>
      </c>
      <c r="F81" s="14">
        <v>1</v>
      </c>
      <c r="G81" s="9">
        <v>1</v>
      </c>
      <c r="H81" s="9">
        <v>1</v>
      </c>
      <c r="I81" s="9">
        <v>1</v>
      </c>
      <c r="J81" s="9">
        <v>1</v>
      </c>
      <c r="K81" s="9">
        <v>1</v>
      </c>
      <c r="L81" s="9">
        <v>1</v>
      </c>
      <c r="M81" s="9">
        <v>1</v>
      </c>
      <c r="N81" s="9">
        <v>1</v>
      </c>
      <c r="O81" s="9">
        <v>1</v>
      </c>
      <c r="P81" s="9">
        <v>1</v>
      </c>
    </row>
    <row r="82" spans="1:16" x14ac:dyDescent="0.2">
      <c r="A82" s="20">
        <v>81</v>
      </c>
      <c r="B82" s="21" t="s">
        <v>162</v>
      </c>
      <c r="C82" s="21" t="s">
        <v>163</v>
      </c>
      <c r="D82" s="21">
        <f t="shared" si="2"/>
        <v>0.4</v>
      </c>
      <c r="E82" s="24">
        <f t="shared" si="3"/>
        <v>1</v>
      </c>
      <c r="F82" s="9">
        <v>1</v>
      </c>
      <c r="G82" s="9">
        <v>1</v>
      </c>
      <c r="H82" s="9">
        <v>1</v>
      </c>
      <c r="I82" s="9">
        <v>1</v>
      </c>
      <c r="J82" s="9">
        <v>1</v>
      </c>
      <c r="K82" s="9">
        <v>1</v>
      </c>
      <c r="L82" s="15">
        <v>1</v>
      </c>
      <c r="M82" s="9">
        <v>1</v>
      </c>
      <c r="N82" s="9">
        <v>1</v>
      </c>
      <c r="O82" s="9">
        <v>1</v>
      </c>
      <c r="P82" s="15">
        <v>0</v>
      </c>
    </row>
    <row r="83" spans="1:16" x14ac:dyDescent="0.2">
      <c r="A83" s="20">
        <v>82</v>
      </c>
      <c r="B83" s="21" t="s">
        <v>164</v>
      </c>
      <c r="C83" s="21" t="s">
        <v>165</v>
      </c>
      <c r="D83" s="21">
        <f t="shared" si="2"/>
        <v>0.5</v>
      </c>
      <c r="E83" s="24">
        <f t="shared" si="3"/>
        <v>0</v>
      </c>
      <c r="F83" s="14">
        <v>1</v>
      </c>
      <c r="G83" s="9">
        <v>1</v>
      </c>
      <c r="H83" s="9">
        <v>1</v>
      </c>
      <c r="I83" s="9">
        <v>1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1</v>
      </c>
      <c r="P83" s="9">
        <v>1</v>
      </c>
    </row>
    <row r="84" spans="1:16" x14ac:dyDescent="0.2">
      <c r="A84" s="20">
        <v>83</v>
      </c>
      <c r="B84" s="21" t="s">
        <v>166</v>
      </c>
      <c r="C84" s="21" t="s">
        <v>167</v>
      </c>
      <c r="D84" s="21">
        <f t="shared" si="2"/>
        <v>0.5</v>
      </c>
      <c r="E84" s="24">
        <f t="shared" si="3"/>
        <v>0</v>
      </c>
      <c r="F84" s="14">
        <v>1</v>
      </c>
      <c r="G84" s="9">
        <v>1</v>
      </c>
      <c r="H84" s="9">
        <v>1</v>
      </c>
      <c r="I84" s="9">
        <v>1</v>
      </c>
      <c r="J84" s="9">
        <v>1</v>
      </c>
      <c r="K84" s="9">
        <v>1</v>
      </c>
      <c r="L84" s="9">
        <v>1</v>
      </c>
      <c r="M84" s="9">
        <v>1</v>
      </c>
      <c r="N84" s="9">
        <v>1</v>
      </c>
      <c r="O84" s="9">
        <v>1</v>
      </c>
      <c r="P84" s="9">
        <v>1</v>
      </c>
    </row>
    <row r="85" spans="1:16" x14ac:dyDescent="0.2">
      <c r="A85" s="20">
        <v>84</v>
      </c>
      <c r="B85" s="21" t="s">
        <v>168</v>
      </c>
      <c r="C85" s="21" t="s">
        <v>169</v>
      </c>
      <c r="D85" s="21">
        <f t="shared" si="2"/>
        <v>0.5</v>
      </c>
      <c r="E85" s="24">
        <f t="shared" si="3"/>
        <v>0</v>
      </c>
      <c r="F85" s="14">
        <v>1</v>
      </c>
      <c r="G85" s="9">
        <v>1</v>
      </c>
      <c r="H85" s="9">
        <v>1</v>
      </c>
      <c r="I85" s="9">
        <v>1</v>
      </c>
      <c r="J85" s="9">
        <v>1</v>
      </c>
      <c r="K85" s="9">
        <v>1</v>
      </c>
      <c r="L85" s="9">
        <v>1</v>
      </c>
      <c r="M85" s="9">
        <v>1</v>
      </c>
      <c r="N85" s="9">
        <v>1</v>
      </c>
      <c r="O85" s="9">
        <v>1</v>
      </c>
      <c r="P85" s="9">
        <v>1</v>
      </c>
    </row>
    <row r="86" spans="1:16" x14ac:dyDescent="0.2">
      <c r="A86" s="20">
        <v>85</v>
      </c>
      <c r="B86" s="21" t="s">
        <v>170</v>
      </c>
      <c r="C86" s="21" t="s">
        <v>171</v>
      </c>
      <c r="D86" s="21">
        <f t="shared" si="2"/>
        <v>0.4</v>
      </c>
      <c r="E86" s="24">
        <f t="shared" si="3"/>
        <v>1</v>
      </c>
      <c r="F86" s="15">
        <v>0</v>
      </c>
      <c r="G86" s="9">
        <v>1</v>
      </c>
      <c r="H86" s="9">
        <v>1</v>
      </c>
      <c r="I86" s="9">
        <v>1</v>
      </c>
      <c r="J86" s="9">
        <v>1</v>
      </c>
      <c r="K86" s="9">
        <v>1</v>
      </c>
      <c r="L86" s="9">
        <v>1</v>
      </c>
      <c r="M86" s="9">
        <v>1</v>
      </c>
      <c r="N86" s="9">
        <v>1</v>
      </c>
      <c r="O86" s="9">
        <v>1</v>
      </c>
      <c r="P86" s="9">
        <v>1</v>
      </c>
    </row>
    <row r="87" spans="1:16" x14ac:dyDescent="0.2">
      <c r="A87" s="20">
        <v>86</v>
      </c>
      <c r="B87" s="21" t="s">
        <v>172</v>
      </c>
      <c r="C87" s="21" t="s">
        <v>173</v>
      </c>
      <c r="D87" s="21">
        <f t="shared" si="2"/>
        <v>0.4</v>
      </c>
      <c r="E87" s="24">
        <f t="shared" si="3"/>
        <v>1</v>
      </c>
      <c r="F87" s="14">
        <v>1</v>
      </c>
      <c r="G87" s="9">
        <v>1</v>
      </c>
      <c r="H87" s="9">
        <v>1</v>
      </c>
      <c r="I87" s="9">
        <v>1</v>
      </c>
      <c r="J87" s="9">
        <v>1</v>
      </c>
      <c r="K87" s="15">
        <v>0</v>
      </c>
      <c r="L87" s="9">
        <v>1</v>
      </c>
      <c r="M87" s="9">
        <v>1</v>
      </c>
      <c r="N87" s="9">
        <v>1</v>
      </c>
      <c r="O87" s="9">
        <v>1</v>
      </c>
      <c r="P87" s="9">
        <v>1</v>
      </c>
    </row>
    <row r="88" spans="1:16" x14ac:dyDescent="0.2">
      <c r="A88" s="20">
        <v>87</v>
      </c>
      <c r="B88" s="21" t="s">
        <v>174</v>
      </c>
      <c r="C88" s="21" t="s">
        <v>175</v>
      </c>
      <c r="D88" s="21">
        <f t="shared" si="2"/>
        <v>0.5</v>
      </c>
      <c r="E88" s="24">
        <f t="shared" si="3"/>
        <v>0</v>
      </c>
      <c r="F88" s="14">
        <v>1</v>
      </c>
      <c r="G88" s="9">
        <v>1</v>
      </c>
      <c r="H88" s="9">
        <v>1</v>
      </c>
      <c r="I88" s="9">
        <v>1</v>
      </c>
      <c r="J88" s="9">
        <v>1</v>
      </c>
      <c r="K88" s="9">
        <v>1</v>
      </c>
      <c r="L88" s="9">
        <v>1</v>
      </c>
      <c r="M88" s="9">
        <v>1</v>
      </c>
      <c r="N88" s="9">
        <v>1</v>
      </c>
      <c r="O88" s="9">
        <v>1</v>
      </c>
      <c r="P88" s="9">
        <v>1</v>
      </c>
    </row>
    <row r="89" spans="1:16" x14ac:dyDescent="0.2">
      <c r="A89" s="20">
        <v>88</v>
      </c>
      <c r="B89" s="21" t="s">
        <v>176</v>
      </c>
      <c r="C89" s="21" t="s">
        <v>177</v>
      </c>
      <c r="D89" s="21">
        <f t="shared" si="2"/>
        <v>0.5</v>
      </c>
      <c r="E89" s="24">
        <f t="shared" si="3"/>
        <v>0</v>
      </c>
      <c r="F89" s="14">
        <v>1</v>
      </c>
      <c r="G89" s="9">
        <v>1</v>
      </c>
      <c r="H89" s="9">
        <v>1</v>
      </c>
      <c r="I89" s="9">
        <v>1</v>
      </c>
      <c r="J89" s="9">
        <v>1</v>
      </c>
      <c r="K89" s="9">
        <v>1</v>
      </c>
      <c r="L89" s="9">
        <v>1</v>
      </c>
      <c r="M89" s="9">
        <v>1</v>
      </c>
      <c r="N89" s="9">
        <v>1</v>
      </c>
      <c r="O89" s="9">
        <v>1</v>
      </c>
      <c r="P89" s="9">
        <v>1</v>
      </c>
    </row>
    <row r="90" spans="1:16" x14ac:dyDescent="0.2">
      <c r="A90" s="20">
        <v>89</v>
      </c>
      <c r="B90" s="21" t="s">
        <v>178</v>
      </c>
      <c r="C90" s="21" t="s">
        <v>179</v>
      </c>
      <c r="D90" s="21">
        <f t="shared" si="2"/>
        <v>0.5</v>
      </c>
      <c r="E90" s="24">
        <f t="shared" si="3"/>
        <v>0</v>
      </c>
      <c r="F90" s="14">
        <v>1</v>
      </c>
      <c r="G90" s="9">
        <v>1</v>
      </c>
      <c r="H90" s="9">
        <v>1</v>
      </c>
      <c r="I90" s="9">
        <v>1</v>
      </c>
      <c r="J90" s="9">
        <v>1</v>
      </c>
      <c r="K90" s="9">
        <v>1</v>
      </c>
      <c r="L90" s="9">
        <v>1</v>
      </c>
      <c r="M90" s="9">
        <v>1</v>
      </c>
      <c r="N90" s="9">
        <v>1</v>
      </c>
      <c r="O90" s="9">
        <v>1</v>
      </c>
      <c r="P90" s="9">
        <v>1</v>
      </c>
    </row>
    <row r="91" spans="1:16" x14ac:dyDescent="0.2">
      <c r="A91" s="20">
        <v>90</v>
      </c>
      <c r="B91" s="21" t="s">
        <v>180</v>
      </c>
      <c r="C91" s="21" t="s">
        <v>181</v>
      </c>
      <c r="D91" s="21">
        <f t="shared" si="2"/>
        <v>0.5</v>
      </c>
      <c r="E91" s="24">
        <f t="shared" si="3"/>
        <v>0</v>
      </c>
      <c r="F91" s="14">
        <v>1</v>
      </c>
      <c r="G91" s="9">
        <v>1</v>
      </c>
      <c r="H91" s="9">
        <v>1</v>
      </c>
      <c r="I91" s="9">
        <v>1</v>
      </c>
      <c r="J91" s="9">
        <v>1</v>
      </c>
      <c r="K91" s="9">
        <v>1</v>
      </c>
      <c r="L91" s="9">
        <v>1</v>
      </c>
      <c r="M91" s="9">
        <v>1</v>
      </c>
      <c r="N91" s="9">
        <v>1</v>
      </c>
      <c r="O91" s="9">
        <v>1</v>
      </c>
      <c r="P91" s="9">
        <v>1</v>
      </c>
    </row>
    <row r="92" spans="1:16" x14ac:dyDescent="0.2">
      <c r="A92" s="20">
        <v>91</v>
      </c>
      <c r="B92" s="21" t="s">
        <v>182</v>
      </c>
      <c r="C92" s="21" t="s">
        <v>183</v>
      </c>
      <c r="D92" s="21">
        <f t="shared" si="2"/>
        <v>0.5</v>
      </c>
      <c r="E92" s="24">
        <f t="shared" si="3"/>
        <v>0</v>
      </c>
      <c r="F92" s="14">
        <v>1</v>
      </c>
      <c r="G92" s="9">
        <v>1</v>
      </c>
      <c r="H92" s="9">
        <v>1</v>
      </c>
      <c r="I92" s="9">
        <v>1</v>
      </c>
      <c r="J92" s="9">
        <v>1</v>
      </c>
      <c r="K92" s="9">
        <v>1</v>
      </c>
      <c r="L92" s="9">
        <v>1</v>
      </c>
      <c r="M92" s="9">
        <v>1</v>
      </c>
      <c r="N92" s="9">
        <v>1</v>
      </c>
      <c r="O92" s="9">
        <v>1</v>
      </c>
      <c r="P92" s="9">
        <v>1</v>
      </c>
    </row>
    <row r="93" spans="1:16" x14ac:dyDescent="0.2">
      <c r="A93" s="20">
        <v>92</v>
      </c>
      <c r="B93" s="21" t="s">
        <v>184</v>
      </c>
      <c r="C93" s="21" t="s">
        <v>185</v>
      </c>
      <c r="D93" s="21">
        <f t="shared" si="2"/>
        <v>0.5</v>
      </c>
      <c r="E93" s="24">
        <f t="shared" si="3"/>
        <v>0</v>
      </c>
      <c r="F93" s="14">
        <v>1</v>
      </c>
      <c r="G93" s="9">
        <v>1</v>
      </c>
      <c r="H93" s="9">
        <v>1</v>
      </c>
      <c r="I93" s="9">
        <v>1</v>
      </c>
      <c r="J93" s="9">
        <v>1</v>
      </c>
      <c r="K93" s="9">
        <v>1</v>
      </c>
      <c r="L93" s="9">
        <v>1</v>
      </c>
      <c r="M93" s="9">
        <v>1</v>
      </c>
      <c r="N93" s="9">
        <v>1</v>
      </c>
      <c r="O93" s="9">
        <v>1</v>
      </c>
      <c r="P93" s="9">
        <v>1</v>
      </c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" right="0" top="0" bottom="0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opLeftCell="B34" zoomScale="128" workbookViewId="0">
      <selection activeCell="H39" sqref="H39"/>
    </sheetView>
  </sheetViews>
  <sheetFormatPr defaultColWidth="8" defaultRowHeight="12.75" x14ac:dyDescent="0.2"/>
  <cols>
    <col min="1" max="1" width="4.5" bestFit="1" customWidth="1"/>
    <col min="2" max="2" width="9" bestFit="1" customWidth="1"/>
    <col min="3" max="3" width="21" customWidth="1"/>
    <col min="4" max="4" width="8.33203125" customWidth="1"/>
    <col min="5" max="5" width="6.5" customWidth="1"/>
    <col min="6" max="8" width="6.5" bestFit="1" customWidth="1"/>
    <col min="9" max="9" width="5.5" bestFit="1" customWidth="1"/>
    <col min="10" max="14" width="6.5" bestFit="1" customWidth="1"/>
  </cols>
  <sheetData>
    <row r="1" spans="1:14" ht="25.5" x14ac:dyDescent="0.2">
      <c r="A1" s="19" t="s">
        <v>0</v>
      </c>
      <c r="B1" s="7" t="s">
        <v>191</v>
      </c>
      <c r="C1" s="19" t="s">
        <v>2</v>
      </c>
      <c r="D1" s="7" t="s">
        <v>192</v>
      </c>
      <c r="E1" s="28">
        <v>45194</v>
      </c>
      <c r="F1" s="8">
        <v>45195</v>
      </c>
      <c r="G1" s="8">
        <v>45196</v>
      </c>
      <c r="H1" s="8">
        <v>45197</v>
      </c>
      <c r="I1" s="8">
        <v>45202</v>
      </c>
      <c r="J1" s="8">
        <v>45215</v>
      </c>
      <c r="K1" s="8">
        <v>45216</v>
      </c>
      <c r="L1" s="8">
        <v>45218</v>
      </c>
      <c r="M1" s="8">
        <v>45222</v>
      </c>
      <c r="N1" s="8">
        <v>45223</v>
      </c>
    </row>
    <row r="2" spans="1:14" ht="25.5" x14ac:dyDescent="0.2">
      <c r="A2" s="20">
        <v>1</v>
      </c>
      <c r="B2" s="21" t="s">
        <v>3</v>
      </c>
      <c r="C2" s="21" t="s">
        <v>4</v>
      </c>
      <c r="D2" s="26">
        <f>MIN(SUM(E2:N2),1)</f>
        <v>0</v>
      </c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5.5" x14ac:dyDescent="0.2">
      <c r="A3" s="20">
        <v>2</v>
      </c>
      <c r="B3" s="21" t="s">
        <v>5</v>
      </c>
      <c r="C3" s="21" t="s">
        <v>6</v>
      </c>
      <c r="D3" s="26">
        <f t="shared" ref="D3:D66" si="0">MIN(SUM(E3:N3),1)</f>
        <v>0</v>
      </c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25.5" x14ac:dyDescent="0.2">
      <c r="A4" s="20">
        <v>3</v>
      </c>
      <c r="B4" s="21" t="s">
        <v>7</v>
      </c>
      <c r="C4" s="21" t="s">
        <v>8</v>
      </c>
      <c r="D4" s="26">
        <f t="shared" si="0"/>
        <v>1</v>
      </c>
      <c r="E4" s="26"/>
      <c r="F4" s="26">
        <v>0.5</v>
      </c>
      <c r="G4" s="26"/>
      <c r="H4" s="26">
        <v>0.5</v>
      </c>
      <c r="I4" s="26">
        <v>0.5</v>
      </c>
      <c r="J4" s="26"/>
      <c r="K4" s="26">
        <v>0.5</v>
      </c>
      <c r="L4" s="26">
        <v>0.5</v>
      </c>
      <c r="M4" s="26"/>
      <c r="N4" s="26"/>
    </row>
    <row r="5" spans="1:14" ht="25.5" x14ac:dyDescent="0.2">
      <c r="A5" s="20">
        <v>4</v>
      </c>
      <c r="B5" s="21" t="s">
        <v>9</v>
      </c>
      <c r="C5" s="21" t="s">
        <v>10</v>
      </c>
      <c r="D5" s="26">
        <f t="shared" si="0"/>
        <v>0</v>
      </c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25.5" x14ac:dyDescent="0.2">
      <c r="A6" s="20">
        <v>5</v>
      </c>
      <c r="B6" s="21" t="s">
        <v>11</v>
      </c>
      <c r="C6" s="21" t="s">
        <v>12</v>
      </c>
      <c r="D6" s="26">
        <f t="shared" si="0"/>
        <v>0</v>
      </c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25.5" x14ac:dyDescent="0.2">
      <c r="A7" s="20">
        <v>6</v>
      </c>
      <c r="B7" s="21" t="s">
        <v>13</v>
      </c>
      <c r="C7" s="21" t="s">
        <v>14</v>
      </c>
      <c r="D7" s="26">
        <f t="shared" si="0"/>
        <v>1</v>
      </c>
      <c r="E7" s="26"/>
      <c r="F7" s="26"/>
      <c r="G7" s="26"/>
      <c r="H7" s="26"/>
      <c r="I7" s="26"/>
      <c r="J7" s="26">
        <v>0.5</v>
      </c>
      <c r="K7" s="26">
        <v>0.5</v>
      </c>
      <c r="L7" s="26">
        <v>0.5</v>
      </c>
      <c r="M7" s="26"/>
      <c r="N7" s="26"/>
    </row>
    <row r="8" spans="1:14" ht="25.5" x14ac:dyDescent="0.2">
      <c r="A8" s="20">
        <v>7</v>
      </c>
      <c r="B8" s="21" t="s">
        <v>15</v>
      </c>
      <c r="C8" s="21" t="s">
        <v>16</v>
      </c>
      <c r="D8" s="26">
        <f t="shared" si="0"/>
        <v>0.5</v>
      </c>
      <c r="E8" s="26"/>
      <c r="F8" s="26">
        <v>0.5</v>
      </c>
      <c r="G8" s="26"/>
      <c r="H8" s="26"/>
      <c r="I8" s="26"/>
      <c r="J8" s="26"/>
      <c r="K8" s="26"/>
      <c r="L8" s="26"/>
      <c r="M8" s="26"/>
      <c r="N8" s="26"/>
    </row>
    <row r="9" spans="1:14" ht="25.5" x14ac:dyDescent="0.2">
      <c r="A9" s="20">
        <v>8</v>
      </c>
      <c r="B9" s="21" t="s">
        <v>17</v>
      </c>
      <c r="C9" s="21" t="s">
        <v>18</v>
      </c>
      <c r="D9" s="26">
        <f t="shared" si="0"/>
        <v>1</v>
      </c>
      <c r="E9" s="26">
        <v>0.5</v>
      </c>
      <c r="F9" s="26">
        <v>0.5</v>
      </c>
      <c r="G9" s="26"/>
      <c r="H9" s="26">
        <v>0.5</v>
      </c>
      <c r="I9" s="26"/>
      <c r="J9" s="26"/>
      <c r="K9" s="26"/>
      <c r="L9" s="26"/>
      <c r="M9" s="26"/>
      <c r="N9" s="26"/>
    </row>
    <row r="10" spans="1:14" ht="25.5" x14ac:dyDescent="0.2">
      <c r="A10" s="20">
        <v>9</v>
      </c>
      <c r="B10" s="21" t="s">
        <v>19</v>
      </c>
      <c r="C10" s="21" t="s">
        <v>20</v>
      </c>
      <c r="D10" s="26">
        <f t="shared" si="0"/>
        <v>0.5</v>
      </c>
      <c r="E10" s="26"/>
      <c r="F10" s="26"/>
      <c r="G10" s="26"/>
      <c r="H10" s="26"/>
      <c r="I10" s="26"/>
      <c r="J10" s="26"/>
      <c r="K10" s="26">
        <v>0.5</v>
      </c>
      <c r="L10" s="26"/>
      <c r="M10" s="26"/>
      <c r="N10" s="26"/>
    </row>
    <row r="11" spans="1:14" ht="25.5" x14ac:dyDescent="0.2">
      <c r="A11" s="20">
        <v>10</v>
      </c>
      <c r="B11" s="21" t="s">
        <v>21</v>
      </c>
      <c r="C11" s="21" t="s">
        <v>22</v>
      </c>
      <c r="D11" s="26">
        <f t="shared" si="0"/>
        <v>1</v>
      </c>
      <c r="E11" s="26">
        <v>0.5</v>
      </c>
      <c r="F11" s="26"/>
      <c r="G11" s="26">
        <v>0.5</v>
      </c>
      <c r="H11" s="26"/>
      <c r="I11" s="26">
        <v>0.5</v>
      </c>
      <c r="J11" s="26"/>
      <c r="K11" s="26">
        <v>0.5</v>
      </c>
      <c r="L11" s="26"/>
      <c r="M11" s="26"/>
      <c r="N11" s="26"/>
    </row>
    <row r="12" spans="1:14" ht="25.5" x14ac:dyDescent="0.2">
      <c r="A12" s="20">
        <v>11</v>
      </c>
      <c r="B12" s="21" t="s">
        <v>23</v>
      </c>
      <c r="C12" s="21" t="s">
        <v>24</v>
      </c>
      <c r="D12" s="26">
        <f t="shared" si="0"/>
        <v>1</v>
      </c>
      <c r="E12" s="26"/>
      <c r="F12" s="26"/>
      <c r="G12" s="26"/>
      <c r="H12" s="26"/>
      <c r="I12" s="26">
        <v>0.5</v>
      </c>
      <c r="J12" s="26">
        <v>0.5</v>
      </c>
      <c r="K12" s="26">
        <v>0.5</v>
      </c>
      <c r="L12" s="26">
        <v>0.5</v>
      </c>
      <c r="M12" s="26"/>
      <c r="N12" s="26"/>
    </row>
    <row r="13" spans="1:14" ht="25.5" x14ac:dyDescent="0.2">
      <c r="A13" s="20">
        <v>12</v>
      </c>
      <c r="B13" s="21" t="s">
        <v>25</v>
      </c>
      <c r="C13" s="21" t="s">
        <v>26</v>
      </c>
      <c r="D13" s="26">
        <f t="shared" si="0"/>
        <v>0.5</v>
      </c>
      <c r="E13" s="26"/>
      <c r="F13" s="26"/>
      <c r="G13" s="26"/>
      <c r="H13" s="26"/>
      <c r="I13" s="26"/>
      <c r="J13" s="26"/>
      <c r="K13" s="26">
        <v>0.5</v>
      </c>
      <c r="L13" s="26"/>
      <c r="M13" s="26"/>
      <c r="N13" s="26"/>
    </row>
    <row r="14" spans="1:14" ht="25.5" x14ac:dyDescent="0.2">
      <c r="A14" s="20">
        <v>13</v>
      </c>
      <c r="B14" s="21" t="s">
        <v>27</v>
      </c>
      <c r="C14" s="21" t="s">
        <v>28</v>
      </c>
      <c r="D14" s="26">
        <f t="shared" si="0"/>
        <v>1</v>
      </c>
      <c r="E14" s="26">
        <v>0.5</v>
      </c>
      <c r="F14" s="26">
        <v>0.5</v>
      </c>
      <c r="G14" s="26"/>
      <c r="H14" s="26"/>
      <c r="I14" s="26"/>
      <c r="J14" s="26"/>
      <c r="K14" s="26">
        <v>0.5</v>
      </c>
      <c r="L14" s="26"/>
      <c r="M14" s="26">
        <v>1</v>
      </c>
      <c r="N14" s="26"/>
    </row>
    <row r="15" spans="1:14" ht="25.5" x14ac:dyDescent="0.2">
      <c r="A15" s="20">
        <v>14</v>
      </c>
      <c r="B15" s="21" t="s">
        <v>29</v>
      </c>
      <c r="C15" s="21" t="s">
        <v>30</v>
      </c>
      <c r="D15" s="26">
        <f t="shared" si="0"/>
        <v>1</v>
      </c>
      <c r="E15" s="26"/>
      <c r="F15" s="26"/>
      <c r="G15" s="26"/>
      <c r="H15" s="26"/>
      <c r="I15" s="26"/>
      <c r="J15" s="26"/>
      <c r="K15" s="26"/>
      <c r="L15" s="26">
        <v>0.5</v>
      </c>
      <c r="M15" s="26">
        <v>1</v>
      </c>
      <c r="N15" s="26"/>
    </row>
    <row r="16" spans="1:14" ht="25.5" x14ac:dyDescent="0.2">
      <c r="A16" s="20">
        <v>15</v>
      </c>
      <c r="B16" s="21" t="s">
        <v>31</v>
      </c>
      <c r="C16" s="21" t="s">
        <v>32</v>
      </c>
      <c r="D16" s="26">
        <f t="shared" si="0"/>
        <v>1</v>
      </c>
      <c r="E16" s="26">
        <v>0.5</v>
      </c>
      <c r="F16" s="26">
        <v>0.5</v>
      </c>
      <c r="G16" s="26"/>
      <c r="H16" s="26">
        <v>0.5</v>
      </c>
      <c r="I16" s="26"/>
      <c r="J16" s="26"/>
      <c r="K16" s="26">
        <v>0.5</v>
      </c>
      <c r="L16" s="26"/>
      <c r="M16" s="26"/>
      <c r="N16" s="26"/>
    </row>
    <row r="17" spans="1:14" ht="25.5" x14ac:dyDescent="0.2">
      <c r="A17" s="20">
        <v>16</v>
      </c>
      <c r="B17" s="21" t="s">
        <v>33</v>
      </c>
      <c r="C17" s="21" t="s">
        <v>34</v>
      </c>
      <c r="D17" s="26">
        <f t="shared" si="0"/>
        <v>0.5</v>
      </c>
      <c r="E17" s="26">
        <v>0.5</v>
      </c>
      <c r="F17" s="26"/>
      <c r="G17" s="26"/>
      <c r="H17" s="26"/>
      <c r="I17" s="26"/>
      <c r="J17" s="26"/>
      <c r="K17" s="26"/>
      <c r="L17" s="26"/>
      <c r="M17" s="26"/>
      <c r="N17" s="26"/>
    </row>
    <row r="18" spans="1:14" ht="25.5" x14ac:dyDescent="0.2">
      <c r="A18" s="20">
        <v>17</v>
      </c>
      <c r="B18" s="21" t="s">
        <v>35</v>
      </c>
      <c r="C18" s="21" t="s">
        <v>36</v>
      </c>
      <c r="D18" s="26">
        <f t="shared" si="0"/>
        <v>1</v>
      </c>
      <c r="E18" s="26">
        <v>0.5</v>
      </c>
      <c r="F18" s="26">
        <v>0.5</v>
      </c>
      <c r="G18" s="26"/>
      <c r="H18" s="26">
        <v>0.5</v>
      </c>
      <c r="I18" s="26">
        <v>0.5</v>
      </c>
      <c r="J18" s="26"/>
      <c r="K18" s="26"/>
      <c r="L18" s="26">
        <v>0.5</v>
      </c>
      <c r="M18" s="26"/>
      <c r="N18" s="26"/>
    </row>
    <row r="19" spans="1:14" ht="25.5" x14ac:dyDescent="0.2">
      <c r="A19" s="20">
        <v>18</v>
      </c>
      <c r="B19" s="21" t="s">
        <v>37</v>
      </c>
      <c r="C19" s="21" t="s">
        <v>38</v>
      </c>
      <c r="D19" s="26">
        <f t="shared" si="0"/>
        <v>0</v>
      </c>
      <c r="E19" s="26"/>
      <c r="F19" s="26"/>
      <c r="G19" s="26"/>
      <c r="H19" s="26"/>
      <c r="I19" s="26" t="s">
        <v>186</v>
      </c>
      <c r="J19" s="26"/>
      <c r="K19" s="26"/>
      <c r="L19" s="26"/>
      <c r="M19" s="26"/>
      <c r="N19" s="26"/>
    </row>
    <row r="20" spans="1:14" ht="25.5" x14ac:dyDescent="0.2">
      <c r="A20" s="20">
        <v>19</v>
      </c>
      <c r="B20" s="21" t="s">
        <v>39</v>
      </c>
      <c r="C20" s="21" t="s">
        <v>40</v>
      </c>
      <c r="D20" s="26">
        <f t="shared" si="0"/>
        <v>1</v>
      </c>
      <c r="E20" s="26"/>
      <c r="F20" s="26">
        <v>0.5</v>
      </c>
      <c r="G20" s="26"/>
      <c r="H20" s="26"/>
      <c r="I20" s="26">
        <v>0.5</v>
      </c>
      <c r="J20" s="26"/>
      <c r="K20" s="26">
        <v>0.5</v>
      </c>
      <c r="L20" s="26">
        <v>0.5</v>
      </c>
      <c r="M20" s="26"/>
      <c r="N20" s="26"/>
    </row>
    <row r="21" spans="1:14" ht="25.5" x14ac:dyDescent="0.2">
      <c r="A21" s="20">
        <v>20</v>
      </c>
      <c r="B21" s="21" t="s">
        <v>41</v>
      </c>
      <c r="C21" s="21" t="s">
        <v>42</v>
      </c>
      <c r="D21" s="26">
        <f t="shared" si="0"/>
        <v>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1:14" ht="25.5" x14ac:dyDescent="0.2">
      <c r="A22" s="20">
        <v>21</v>
      </c>
      <c r="B22" s="21" t="s">
        <v>43</v>
      </c>
      <c r="C22" s="21" t="s">
        <v>44</v>
      </c>
      <c r="D22" s="26">
        <f t="shared" si="0"/>
        <v>0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spans="1:14" ht="25.5" x14ac:dyDescent="0.2">
      <c r="A23" s="20">
        <v>22</v>
      </c>
      <c r="B23" s="21" t="s">
        <v>45</v>
      </c>
      <c r="C23" s="21" t="s">
        <v>46</v>
      </c>
      <c r="D23" s="26">
        <f t="shared" si="0"/>
        <v>1</v>
      </c>
      <c r="E23" s="26"/>
      <c r="F23" s="26">
        <v>0.5</v>
      </c>
      <c r="G23" s="26"/>
      <c r="H23" s="26"/>
      <c r="I23" s="26"/>
      <c r="J23" s="26"/>
      <c r="K23" s="26"/>
      <c r="L23" s="26"/>
      <c r="M23" s="26">
        <v>1</v>
      </c>
      <c r="N23" s="26"/>
    </row>
    <row r="24" spans="1:14" ht="25.5" x14ac:dyDescent="0.2">
      <c r="A24" s="20">
        <v>23</v>
      </c>
      <c r="B24" s="21" t="s">
        <v>47</v>
      </c>
      <c r="C24" s="21" t="s">
        <v>48</v>
      </c>
      <c r="D24" s="26">
        <f t="shared" si="0"/>
        <v>0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spans="1:14" ht="25.5" x14ac:dyDescent="0.2">
      <c r="A25" s="20">
        <v>24</v>
      </c>
      <c r="B25" s="21" t="s">
        <v>49</v>
      </c>
      <c r="C25" s="21" t="s">
        <v>50</v>
      </c>
      <c r="D25" s="26">
        <f t="shared" si="0"/>
        <v>0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25.5" x14ac:dyDescent="0.2">
      <c r="A26" s="20">
        <v>25</v>
      </c>
      <c r="B26" s="21" t="s">
        <v>51</v>
      </c>
      <c r="C26" s="21" t="s">
        <v>52</v>
      </c>
      <c r="D26" s="26">
        <f t="shared" si="0"/>
        <v>0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</row>
    <row r="27" spans="1:14" ht="25.5" x14ac:dyDescent="0.2">
      <c r="A27" s="20">
        <v>26</v>
      </c>
      <c r="B27" s="21" t="s">
        <v>53</v>
      </c>
      <c r="C27" s="21" t="s">
        <v>54</v>
      </c>
      <c r="D27" s="26">
        <f t="shared" si="0"/>
        <v>0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spans="1:14" ht="25.5" x14ac:dyDescent="0.2">
      <c r="A28" s="20">
        <v>27</v>
      </c>
      <c r="B28" s="21" t="s">
        <v>55</v>
      </c>
      <c r="C28" s="21" t="s">
        <v>56</v>
      </c>
      <c r="D28" s="26">
        <f t="shared" si="0"/>
        <v>0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4" ht="25.5" x14ac:dyDescent="0.2">
      <c r="A29" s="20">
        <v>28</v>
      </c>
      <c r="B29" s="21" t="s">
        <v>57</v>
      </c>
      <c r="C29" s="21" t="s">
        <v>58</v>
      </c>
      <c r="D29" s="26">
        <f t="shared" si="0"/>
        <v>0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spans="1:14" ht="25.5" x14ac:dyDescent="0.2">
      <c r="A30" s="20">
        <v>29</v>
      </c>
      <c r="B30" s="21" t="s">
        <v>59</v>
      </c>
      <c r="C30" s="21" t="s">
        <v>60</v>
      </c>
      <c r="D30" s="26">
        <f t="shared" si="0"/>
        <v>0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pans="1:14" ht="25.5" x14ac:dyDescent="0.2">
      <c r="A31" s="20">
        <v>30</v>
      </c>
      <c r="B31" s="21" t="s">
        <v>61</v>
      </c>
      <c r="C31" s="21" t="s">
        <v>62</v>
      </c>
      <c r="D31" s="26">
        <f t="shared" si="0"/>
        <v>0.5</v>
      </c>
      <c r="E31" s="26"/>
      <c r="F31" s="26"/>
      <c r="G31" s="26"/>
      <c r="H31" s="26"/>
      <c r="I31" s="26"/>
      <c r="J31" s="26">
        <v>0.5</v>
      </c>
      <c r="K31" s="26"/>
      <c r="L31" s="26"/>
      <c r="M31" s="26"/>
      <c r="N31" s="26"/>
    </row>
    <row r="32" spans="1:14" ht="25.5" x14ac:dyDescent="0.2">
      <c r="A32" s="20">
        <v>31</v>
      </c>
      <c r="B32" s="21" t="s">
        <v>63</v>
      </c>
      <c r="C32" s="21" t="s">
        <v>64</v>
      </c>
      <c r="D32" s="26">
        <f t="shared" si="0"/>
        <v>0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1:14" ht="25.5" x14ac:dyDescent="0.2">
      <c r="A33" s="20">
        <v>32</v>
      </c>
      <c r="B33" s="21" t="s">
        <v>65</v>
      </c>
      <c r="C33" s="21" t="s">
        <v>66</v>
      </c>
      <c r="D33" s="26">
        <f t="shared" si="0"/>
        <v>0.5</v>
      </c>
      <c r="E33" s="26"/>
      <c r="F33" s="26">
        <v>0.5</v>
      </c>
      <c r="G33" s="26"/>
      <c r="H33" s="26"/>
      <c r="I33" s="26"/>
      <c r="J33" s="26"/>
      <c r="K33" s="26"/>
      <c r="L33" s="26"/>
      <c r="M33" s="26"/>
      <c r="N33" s="26"/>
    </row>
    <row r="34" spans="1:14" ht="25.5" x14ac:dyDescent="0.2">
      <c r="A34" s="20">
        <v>33</v>
      </c>
      <c r="B34" s="21" t="s">
        <v>67</v>
      </c>
      <c r="C34" s="21" t="s">
        <v>68</v>
      </c>
      <c r="D34" s="26">
        <f t="shared" si="0"/>
        <v>0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</row>
    <row r="35" spans="1:14" ht="25.5" x14ac:dyDescent="0.2">
      <c r="A35" s="20">
        <v>34</v>
      </c>
      <c r="B35" s="21" t="s">
        <v>69</v>
      </c>
      <c r="C35" s="21" t="s">
        <v>70</v>
      </c>
      <c r="D35" s="26">
        <f t="shared" si="0"/>
        <v>0.5</v>
      </c>
      <c r="E35" s="26"/>
      <c r="F35" s="26"/>
      <c r="G35" s="26"/>
      <c r="H35" s="26"/>
      <c r="I35" s="26">
        <v>0.5</v>
      </c>
      <c r="J35" s="26"/>
      <c r="K35" s="26"/>
      <c r="L35" s="26"/>
      <c r="M35" s="26"/>
      <c r="N35" s="26"/>
    </row>
    <row r="36" spans="1:14" ht="25.5" x14ac:dyDescent="0.2">
      <c r="A36" s="20">
        <v>35</v>
      </c>
      <c r="B36" s="21" t="s">
        <v>71</v>
      </c>
      <c r="C36" s="21" t="s">
        <v>72</v>
      </c>
      <c r="D36" s="26">
        <f t="shared" si="0"/>
        <v>1</v>
      </c>
      <c r="E36" s="26"/>
      <c r="F36" s="26"/>
      <c r="G36" s="26"/>
      <c r="H36" s="26"/>
      <c r="I36" s="26">
        <v>0.5</v>
      </c>
      <c r="J36" s="26"/>
      <c r="K36" s="26"/>
      <c r="L36" s="26"/>
      <c r="M36" s="26">
        <v>1</v>
      </c>
      <c r="N36" s="26"/>
    </row>
    <row r="37" spans="1:14" ht="25.5" x14ac:dyDescent="0.2">
      <c r="A37" s="20">
        <v>36</v>
      </c>
      <c r="B37" s="21" t="s">
        <v>73</v>
      </c>
      <c r="C37" s="21" t="s">
        <v>74</v>
      </c>
      <c r="D37" s="26">
        <f t="shared" si="0"/>
        <v>0.5</v>
      </c>
      <c r="E37" s="26"/>
      <c r="F37" s="26">
        <v>0.5</v>
      </c>
      <c r="G37" s="26"/>
      <c r="H37" s="26"/>
      <c r="I37" s="26"/>
      <c r="J37" s="26"/>
      <c r="K37" s="26"/>
      <c r="L37" s="26"/>
      <c r="M37" s="26"/>
      <c r="N37" s="26"/>
    </row>
    <row r="38" spans="1:14" ht="25.5" x14ac:dyDescent="0.2">
      <c r="A38" s="20">
        <v>37</v>
      </c>
      <c r="B38" s="21" t="s">
        <v>75</v>
      </c>
      <c r="C38" s="21" t="s">
        <v>76</v>
      </c>
      <c r="D38" s="26">
        <f t="shared" si="0"/>
        <v>0.5</v>
      </c>
      <c r="E38" s="26"/>
      <c r="F38" s="26"/>
      <c r="G38" s="26"/>
      <c r="H38" s="26">
        <v>0.5</v>
      </c>
      <c r="I38" s="26"/>
      <c r="J38" s="26"/>
      <c r="K38" s="26"/>
      <c r="L38" s="26"/>
      <c r="M38" s="26"/>
      <c r="N38" s="26"/>
    </row>
    <row r="39" spans="1:14" ht="25.5" x14ac:dyDescent="0.2">
      <c r="A39" s="20">
        <v>38</v>
      </c>
      <c r="B39" s="21" t="s">
        <v>77</v>
      </c>
      <c r="C39" s="21" t="s">
        <v>78</v>
      </c>
      <c r="D39" s="26">
        <f t="shared" si="0"/>
        <v>1</v>
      </c>
      <c r="E39" s="26"/>
      <c r="F39" s="26">
        <v>0.5</v>
      </c>
      <c r="G39" s="26"/>
      <c r="H39" s="26"/>
      <c r="I39" s="26">
        <v>0.5</v>
      </c>
      <c r="J39" s="26">
        <v>0.5</v>
      </c>
      <c r="K39" s="26"/>
      <c r="L39" s="26"/>
      <c r="M39" s="26"/>
      <c r="N39" s="26"/>
    </row>
    <row r="40" spans="1:14" ht="25.5" x14ac:dyDescent="0.2">
      <c r="A40" s="20">
        <v>39</v>
      </c>
      <c r="B40" s="21" t="s">
        <v>79</v>
      </c>
      <c r="C40" s="21" t="s">
        <v>80</v>
      </c>
      <c r="D40" s="26">
        <f t="shared" si="0"/>
        <v>1</v>
      </c>
      <c r="E40" s="26"/>
      <c r="F40" s="26">
        <v>0.5</v>
      </c>
      <c r="G40" s="26"/>
      <c r="H40" s="26"/>
      <c r="I40" s="26"/>
      <c r="J40" s="26">
        <v>0.5</v>
      </c>
      <c r="K40" s="26"/>
      <c r="L40" s="26">
        <v>0.5</v>
      </c>
      <c r="M40" s="26"/>
      <c r="N40" s="26"/>
    </row>
    <row r="41" spans="1:14" ht="25.5" x14ac:dyDescent="0.2">
      <c r="A41" s="20">
        <v>40</v>
      </c>
      <c r="B41" s="21" t="s">
        <v>81</v>
      </c>
      <c r="C41" s="21" t="s">
        <v>82</v>
      </c>
      <c r="D41" s="26">
        <f t="shared" si="0"/>
        <v>1</v>
      </c>
      <c r="E41" s="26">
        <v>0.5</v>
      </c>
      <c r="F41" s="26">
        <v>0.5</v>
      </c>
      <c r="G41" s="26">
        <v>0.5</v>
      </c>
      <c r="H41" s="26">
        <v>0.5</v>
      </c>
      <c r="I41" s="26">
        <v>0.5</v>
      </c>
      <c r="J41" s="26">
        <v>0.5</v>
      </c>
      <c r="K41" s="26">
        <v>0.5</v>
      </c>
      <c r="L41" s="26"/>
      <c r="M41" s="26"/>
      <c r="N41" s="26"/>
    </row>
    <row r="42" spans="1:14" ht="25.5" x14ac:dyDescent="0.2">
      <c r="A42" s="20">
        <v>41</v>
      </c>
      <c r="B42" s="21" t="s">
        <v>83</v>
      </c>
      <c r="C42" s="21" t="s">
        <v>84</v>
      </c>
      <c r="D42" s="26">
        <f t="shared" si="0"/>
        <v>1</v>
      </c>
      <c r="E42" s="26"/>
      <c r="F42" s="26"/>
      <c r="G42" s="26"/>
      <c r="H42" s="26"/>
      <c r="I42" s="26"/>
      <c r="J42" s="26">
        <v>0.5</v>
      </c>
      <c r="K42" s="26"/>
      <c r="L42" s="26">
        <v>0.5</v>
      </c>
      <c r="M42" s="26"/>
      <c r="N42" s="26"/>
    </row>
    <row r="43" spans="1:14" ht="25.5" x14ac:dyDescent="0.2">
      <c r="A43" s="20">
        <v>42</v>
      </c>
      <c r="B43" s="21" t="s">
        <v>85</v>
      </c>
      <c r="C43" s="21" t="s">
        <v>86</v>
      </c>
      <c r="D43" s="26">
        <f t="shared" si="0"/>
        <v>1</v>
      </c>
      <c r="E43" s="26"/>
      <c r="F43" s="26"/>
      <c r="G43" s="26"/>
      <c r="H43" s="26"/>
      <c r="I43" s="26"/>
      <c r="J43" s="26">
        <v>0.5</v>
      </c>
      <c r="K43" s="26">
        <v>0.5</v>
      </c>
      <c r="L43" s="26">
        <v>0.5</v>
      </c>
      <c r="M43" s="26"/>
      <c r="N43" s="26"/>
    </row>
    <row r="44" spans="1:14" ht="25.5" x14ac:dyDescent="0.2">
      <c r="A44" s="20">
        <v>43</v>
      </c>
      <c r="B44" s="21" t="s">
        <v>87</v>
      </c>
      <c r="C44" s="21" t="s">
        <v>88</v>
      </c>
      <c r="D44" s="26">
        <f t="shared" si="0"/>
        <v>0.5</v>
      </c>
      <c r="E44" s="26"/>
      <c r="F44" s="26"/>
      <c r="G44" s="26"/>
      <c r="H44" s="26"/>
      <c r="I44" s="26"/>
      <c r="J44" s="26"/>
      <c r="K44" s="26">
        <v>0.5</v>
      </c>
      <c r="L44" s="26"/>
      <c r="M44" s="26"/>
      <c r="N44" s="26"/>
    </row>
    <row r="45" spans="1:14" ht="25.5" x14ac:dyDescent="0.2">
      <c r="A45" s="20">
        <v>44</v>
      </c>
      <c r="B45" s="21" t="s">
        <v>89</v>
      </c>
      <c r="C45" s="21" t="s">
        <v>90</v>
      </c>
      <c r="D45" s="26">
        <f t="shared" si="0"/>
        <v>1</v>
      </c>
      <c r="E45" s="26">
        <v>0.5</v>
      </c>
      <c r="F45" s="26">
        <v>0.5</v>
      </c>
      <c r="G45" s="26"/>
      <c r="H45" s="26"/>
      <c r="I45" s="26">
        <v>0.5</v>
      </c>
      <c r="J45" s="29" t="s">
        <v>189</v>
      </c>
      <c r="K45" s="26">
        <v>0.5</v>
      </c>
      <c r="L45" s="26">
        <v>0.5</v>
      </c>
      <c r="M45" s="26"/>
      <c r="N45" s="26"/>
    </row>
    <row r="46" spans="1:14" ht="25.5" x14ac:dyDescent="0.2">
      <c r="A46" s="20">
        <v>45</v>
      </c>
      <c r="B46" s="21" t="s">
        <v>91</v>
      </c>
      <c r="C46" s="21" t="s">
        <v>92</v>
      </c>
      <c r="D46" s="26">
        <f t="shared" si="0"/>
        <v>1</v>
      </c>
      <c r="E46" s="26"/>
      <c r="F46" s="26">
        <v>0.5</v>
      </c>
      <c r="G46" s="26"/>
      <c r="H46" s="26"/>
      <c r="I46" s="26">
        <v>0.5</v>
      </c>
      <c r="J46" s="26">
        <v>0.5</v>
      </c>
      <c r="K46" s="26"/>
      <c r="L46" s="26">
        <v>0.5</v>
      </c>
      <c r="M46" s="26"/>
      <c r="N46" s="26"/>
    </row>
    <row r="47" spans="1:14" ht="25.5" x14ac:dyDescent="0.2">
      <c r="A47" s="20">
        <v>46</v>
      </c>
      <c r="B47" s="21" t="s">
        <v>93</v>
      </c>
      <c r="C47" s="21" t="s">
        <v>94</v>
      </c>
      <c r="D47" s="26">
        <f t="shared" si="0"/>
        <v>0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ht="25.5" x14ac:dyDescent="0.2">
      <c r="A48" s="20">
        <v>47</v>
      </c>
      <c r="B48" s="21" t="s">
        <v>95</v>
      </c>
      <c r="C48" s="21" t="s">
        <v>96</v>
      </c>
      <c r="D48" s="26">
        <f t="shared" si="0"/>
        <v>1</v>
      </c>
      <c r="E48" s="26"/>
      <c r="F48" s="26"/>
      <c r="G48" s="26"/>
      <c r="H48" s="26"/>
      <c r="I48" s="26">
        <v>0.5</v>
      </c>
      <c r="J48" s="26">
        <v>0.5</v>
      </c>
      <c r="K48" s="26"/>
      <c r="L48" s="26"/>
      <c r="M48" s="26"/>
      <c r="N48" s="26"/>
    </row>
    <row r="49" spans="1:14" ht="25.5" x14ac:dyDescent="0.2">
      <c r="A49" s="20">
        <v>48</v>
      </c>
      <c r="B49" s="21" t="s">
        <v>97</v>
      </c>
      <c r="C49" s="21" t="s">
        <v>98</v>
      </c>
      <c r="D49" s="26">
        <f t="shared" si="0"/>
        <v>1</v>
      </c>
      <c r="E49" s="26">
        <v>0.5</v>
      </c>
      <c r="F49" s="26"/>
      <c r="G49" s="26"/>
      <c r="H49" s="26"/>
      <c r="I49" s="26">
        <v>0.5</v>
      </c>
      <c r="J49" s="26">
        <v>0.5</v>
      </c>
      <c r="K49" s="26"/>
      <c r="L49" s="26"/>
      <c r="M49" s="26"/>
      <c r="N49" s="26"/>
    </row>
    <row r="50" spans="1:14" ht="25.5" x14ac:dyDescent="0.2">
      <c r="A50" s="20">
        <v>49</v>
      </c>
      <c r="B50" s="21" t="s">
        <v>99</v>
      </c>
      <c r="C50" s="21" t="s">
        <v>100</v>
      </c>
      <c r="D50" s="26">
        <f t="shared" si="0"/>
        <v>1</v>
      </c>
      <c r="E50" s="26">
        <v>0.5</v>
      </c>
      <c r="F50" s="26"/>
      <c r="G50" s="26">
        <v>0.5</v>
      </c>
      <c r="H50" s="26">
        <v>0.5</v>
      </c>
      <c r="I50" s="26"/>
      <c r="J50" s="26">
        <v>0.5</v>
      </c>
      <c r="K50" s="26">
        <v>0.5</v>
      </c>
      <c r="L50" s="26"/>
      <c r="M50" s="26"/>
      <c r="N50" s="26"/>
    </row>
    <row r="51" spans="1:14" ht="25.5" x14ac:dyDescent="0.2">
      <c r="A51" s="20">
        <v>50</v>
      </c>
      <c r="B51" s="21" t="s">
        <v>101</v>
      </c>
      <c r="C51" s="21" t="s">
        <v>102</v>
      </c>
      <c r="D51" s="26">
        <f t="shared" si="0"/>
        <v>1</v>
      </c>
      <c r="E51" s="26">
        <v>0.5</v>
      </c>
      <c r="F51" s="26"/>
      <c r="G51" s="26">
        <v>0.5</v>
      </c>
      <c r="H51" s="26">
        <v>0.5</v>
      </c>
      <c r="I51" s="26">
        <v>0.5</v>
      </c>
      <c r="J51" s="26"/>
      <c r="K51" s="26">
        <v>0.5</v>
      </c>
      <c r="L51" s="26"/>
      <c r="M51" s="26"/>
      <c r="N51" s="26"/>
    </row>
    <row r="52" spans="1:14" ht="25.5" x14ac:dyDescent="0.2">
      <c r="A52" s="20">
        <v>51</v>
      </c>
      <c r="B52" s="21" t="s">
        <v>103</v>
      </c>
      <c r="C52" s="21" t="s">
        <v>104</v>
      </c>
      <c r="D52" s="26">
        <f t="shared" si="0"/>
        <v>1</v>
      </c>
      <c r="E52" s="26">
        <v>0.5</v>
      </c>
      <c r="F52" s="26"/>
      <c r="G52" s="26"/>
      <c r="H52" s="26"/>
      <c r="I52" s="26">
        <v>0.5</v>
      </c>
      <c r="J52" s="26"/>
      <c r="K52" s="26">
        <v>0.5</v>
      </c>
      <c r="L52" s="26"/>
      <c r="M52" s="26"/>
      <c r="N52" s="26"/>
    </row>
    <row r="53" spans="1:14" ht="25.5" x14ac:dyDescent="0.2">
      <c r="A53" s="20">
        <v>52</v>
      </c>
      <c r="B53" s="21" t="s">
        <v>105</v>
      </c>
      <c r="C53" s="21" t="s">
        <v>106</v>
      </c>
      <c r="D53" s="26">
        <f t="shared" si="0"/>
        <v>1</v>
      </c>
      <c r="E53" s="26">
        <v>1</v>
      </c>
      <c r="F53" s="26"/>
      <c r="G53" s="26"/>
      <c r="H53" s="26"/>
      <c r="I53" s="26">
        <v>0.5</v>
      </c>
      <c r="J53" s="26">
        <v>0.5</v>
      </c>
      <c r="K53" s="26">
        <v>1</v>
      </c>
      <c r="L53" s="26">
        <v>0.5</v>
      </c>
      <c r="M53" s="26"/>
      <c r="N53" s="26"/>
    </row>
    <row r="54" spans="1:14" ht="25.5" x14ac:dyDescent="0.2">
      <c r="A54" s="20">
        <v>53</v>
      </c>
      <c r="B54" s="21" t="s">
        <v>107</v>
      </c>
      <c r="C54" s="21" t="s">
        <v>108</v>
      </c>
      <c r="D54" s="26">
        <f t="shared" si="0"/>
        <v>1</v>
      </c>
      <c r="E54" s="26">
        <v>0.5</v>
      </c>
      <c r="F54" s="26">
        <f>0.5+0.5</f>
        <v>1</v>
      </c>
      <c r="G54" s="26"/>
      <c r="H54" s="26"/>
      <c r="I54" s="26">
        <f>0.5+0.5</f>
        <v>1</v>
      </c>
      <c r="J54" s="26">
        <v>0.5</v>
      </c>
      <c r="K54" s="26"/>
      <c r="L54" s="26"/>
      <c r="M54" s="26"/>
      <c r="N54" s="26"/>
    </row>
    <row r="55" spans="1:14" ht="25.5" x14ac:dyDescent="0.2">
      <c r="A55" s="20">
        <v>54</v>
      </c>
      <c r="B55" s="21" t="s">
        <v>109</v>
      </c>
      <c r="C55" s="21" t="s">
        <v>110</v>
      </c>
      <c r="D55" s="26">
        <f t="shared" si="0"/>
        <v>0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ht="25.5" x14ac:dyDescent="0.2">
      <c r="A56" s="20">
        <v>55</v>
      </c>
      <c r="B56" s="21" t="s">
        <v>111</v>
      </c>
      <c r="C56" s="21" t="s">
        <v>112</v>
      </c>
      <c r="D56" s="26">
        <f t="shared" si="0"/>
        <v>1</v>
      </c>
      <c r="E56" s="26"/>
      <c r="F56" s="26"/>
      <c r="G56" s="26">
        <v>0.5</v>
      </c>
      <c r="H56" s="26"/>
      <c r="I56" s="26">
        <v>0.5</v>
      </c>
      <c r="J56" s="26"/>
      <c r="K56" s="26"/>
      <c r="L56" s="26">
        <v>1</v>
      </c>
      <c r="M56" s="26"/>
      <c r="N56" s="26"/>
    </row>
    <row r="57" spans="1:14" ht="25.5" x14ac:dyDescent="0.2">
      <c r="A57" s="20">
        <v>56</v>
      </c>
      <c r="B57" s="21" t="s">
        <v>113</v>
      </c>
      <c r="C57" s="21" t="s">
        <v>114</v>
      </c>
      <c r="D57" s="26">
        <f t="shared" si="0"/>
        <v>0</v>
      </c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spans="1:14" ht="25.5" x14ac:dyDescent="0.2">
      <c r="A58" s="20">
        <v>57</v>
      </c>
      <c r="B58" s="21" t="s">
        <v>115</v>
      </c>
      <c r="C58" s="21" t="s">
        <v>116</v>
      </c>
      <c r="D58" s="26">
        <f t="shared" si="0"/>
        <v>1</v>
      </c>
      <c r="E58" s="26">
        <v>0.5</v>
      </c>
      <c r="F58" s="26"/>
      <c r="G58" s="26"/>
      <c r="H58" s="26"/>
      <c r="I58" s="26">
        <v>0.5</v>
      </c>
      <c r="J58" s="26"/>
      <c r="K58" s="26"/>
      <c r="L58" s="26"/>
      <c r="M58" s="26"/>
      <c r="N58" s="26"/>
    </row>
    <row r="59" spans="1:14" ht="25.5" x14ac:dyDescent="0.2">
      <c r="A59" s="20">
        <v>58</v>
      </c>
      <c r="B59" s="21" t="s">
        <v>117</v>
      </c>
      <c r="C59" s="21" t="s">
        <v>118</v>
      </c>
      <c r="D59" s="26">
        <f t="shared" si="0"/>
        <v>0.5</v>
      </c>
      <c r="E59" s="26"/>
      <c r="F59" s="26"/>
      <c r="G59" s="26"/>
      <c r="H59" s="26"/>
      <c r="I59" s="26">
        <v>0.5</v>
      </c>
      <c r="J59" s="26"/>
      <c r="K59" s="26"/>
      <c r="L59" s="26"/>
      <c r="M59" s="26"/>
      <c r="N59" s="26"/>
    </row>
    <row r="60" spans="1:14" ht="25.5" x14ac:dyDescent="0.2">
      <c r="A60" s="20">
        <v>59</v>
      </c>
      <c r="B60" s="21" t="s">
        <v>119</v>
      </c>
      <c r="C60" s="21" t="s">
        <v>120</v>
      </c>
      <c r="D60" s="26">
        <f t="shared" si="0"/>
        <v>0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</row>
    <row r="61" spans="1:14" ht="25.5" x14ac:dyDescent="0.2">
      <c r="A61" s="20">
        <v>60</v>
      </c>
      <c r="B61" s="21" t="s">
        <v>121</v>
      </c>
      <c r="C61" s="21" t="s">
        <v>122</v>
      </c>
      <c r="D61" s="26">
        <f t="shared" si="0"/>
        <v>1</v>
      </c>
      <c r="E61" s="26"/>
      <c r="F61" s="26"/>
      <c r="G61" s="26"/>
      <c r="H61" s="26"/>
      <c r="I61" s="26"/>
      <c r="J61" s="26"/>
      <c r="K61" s="26"/>
      <c r="L61" s="26"/>
      <c r="M61" s="26">
        <v>1</v>
      </c>
      <c r="N61" s="26"/>
    </row>
    <row r="62" spans="1:14" ht="25.5" x14ac:dyDescent="0.2">
      <c r="A62" s="20">
        <v>61</v>
      </c>
      <c r="B62" s="21" t="s">
        <v>123</v>
      </c>
      <c r="C62" s="21" t="s">
        <v>124</v>
      </c>
      <c r="D62" s="26">
        <f t="shared" si="0"/>
        <v>1</v>
      </c>
      <c r="E62" s="26">
        <v>0.5</v>
      </c>
      <c r="F62" s="26">
        <v>0.5</v>
      </c>
      <c r="G62" s="26"/>
      <c r="H62" s="26"/>
      <c r="I62" s="26">
        <v>0.5</v>
      </c>
      <c r="J62" s="26">
        <v>0.5</v>
      </c>
      <c r="K62" s="26">
        <v>0.5</v>
      </c>
      <c r="L62" s="26"/>
      <c r="M62" s="26"/>
      <c r="N62" s="26"/>
    </row>
    <row r="63" spans="1:14" ht="25.5" x14ac:dyDescent="0.2">
      <c r="A63" s="20">
        <v>62</v>
      </c>
      <c r="B63" s="21" t="s">
        <v>125</v>
      </c>
      <c r="C63" s="21" t="s">
        <v>126</v>
      </c>
      <c r="D63" s="26">
        <f t="shared" si="0"/>
        <v>0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spans="1:14" ht="25.5" x14ac:dyDescent="0.2">
      <c r="A64" s="20">
        <v>63</v>
      </c>
      <c r="B64" s="21" t="s">
        <v>127</v>
      </c>
      <c r="C64" s="21" t="s">
        <v>128</v>
      </c>
      <c r="D64" s="26">
        <f t="shared" si="0"/>
        <v>1</v>
      </c>
      <c r="E64" s="26">
        <v>0.5</v>
      </c>
      <c r="F64" s="26">
        <v>0.5</v>
      </c>
      <c r="G64" s="26"/>
      <c r="H64" s="26"/>
      <c r="I64" s="26">
        <v>1</v>
      </c>
      <c r="J64" s="26"/>
      <c r="K64" s="26"/>
      <c r="L64" s="26"/>
      <c r="M64" s="26"/>
      <c r="N64" s="26"/>
    </row>
    <row r="65" spans="1:14" ht="25.5" x14ac:dyDescent="0.2">
      <c r="A65" s="20">
        <v>64</v>
      </c>
      <c r="B65" s="21" t="s">
        <v>129</v>
      </c>
      <c r="C65" s="21" t="s">
        <v>130</v>
      </c>
      <c r="D65" s="26">
        <f t="shared" si="0"/>
        <v>1</v>
      </c>
      <c r="E65" s="26">
        <v>0.5</v>
      </c>
      <c r="F65" s="26">
        <v>0.5</v>
      </c>
      <c r="G65" s="26"/>
      <c r="H65" s="26"/>
      <c r="I65" s="26">
        <v>0.5</v>
      </c>
      <c r="J65" s="26">
        <v>0.5</v>
      </c>
      <c r="K65" s="26">
        <v>0.5</v>
      </c>
      <c r="L65" s="26">
        <v>0.5</v>
      </c>
      <c r="M65" s="26"/>
      <c r="N65" s="26"/>
    </row>
    <row r="66" spans="1:14" ht="25.5" x14ac:dyDescent="0.2">
      <c r="A66" s="20">
        <v>65</v>
      </c>
      <c r="B66" s="21" t="s">
        <v>131</v>
      </c>
      <c r="C66" s="21" t="s">
        <v>132</v>
      </c>
      <c r="D66" s="26">
        <f t="shared" si="0"/>
        <v>0</v>
      </c>
      <c r="E66" s="26"/>
      <c r="F66" s="26"/>
      <c r="G66" s="26"/>
      <c r="H66" s="26"/>
      <c r="I66" s="26"/>
      <c r="J66" s="26">
        <v>0</v>
      </c>
      <c r="K66" s="26"/>
      <c r="L66" s="26"/>
      <c r="M66" s="26"/>
      <c r="N66" s="26"/>
    </row>
    <row r="67" spans="1:14" ht="25.5" x14ac:dyDescent="0.2">
      <c r="A67" s="20">
        <v>66</v>
      </c>
      <c r="B67" s="21" t="s">
        <v>133</v>
      </c>
      <c r="C67" s="21" t="s">
        <v>134</v>
      </c>
      <c r="D67" s="26">
        <f t="shared" ref="D67:D93" si="1">MIN(SUM(E67:N67),1)</f>
        <v>1</v>
      </c>
      <c r="E67" s="26"/>
      <c r="F67" s="26">
        <v>0.5</v>
      </c>
      <c r="G67" s="26"/>
      <c r="H67" s="26"/>
      <c r="I67" s="26">
        <v>0.5</v>
      </c>
      <c r="J67" s="26"/>
      <c r="K67" s="26"/>
      <c r="L67" s="26"/>
      <c r="M67" s="26"/>
      <c r="N67" s="26"/>
    </row>
    <row r="68" spans="1:14" ht="25.5" x14ac:dyDescent="0.2">
      <c r="A68" s="20">
        <v>67</v>
      </c>
      <c r="B68" s="21" t="s">
        <v>135</v>
      </c>
      <c r="C68" s="21" t="s">
        <v>136</v>
      </c>
      <c r="D68" s="26">
        <f t="shared" si="1"/>
        <v>0</v>
      </c>
      <c r="E68" s="26"/>
      <c r="F68" s="26"/>
      <c r="G68" s="26"/>
      <c r="H68" s="26"/>
      <c r="I68" s="26"/>
      <c r="J68" s="26"/>
      <c r="K68" s="26"/>
      <c r="L68" s="26"/>
      <c r="M68" s="26"/>
      <c r="N68" s="26"/>
    </row>
    <row r="69" spans="1:14" ht="25.5" x14ac:dyDescent="0.2">
      <c r="A69" s="20">
        <v>68</v>
      </c>
      <c r="B69" s="21" t="s">
        <v>137</v>
      </c>
      <c r="C69" s="21" t="s">
        <v>138</v>
      </c>
      <c r="D69" s="26">
        <f t="shared" si="1"/>
        <v>1</v>
      </c>
      <c r="E69" s="26"/>
      <c r="F69" s="26"/>
      <c r="G69" s="26"/>
      <c r="H69" s="26"/>
      <c r="I69" s="26">
        <v>0.5</v>
      </c>
      <c r="J69" s="26"/>
      <c r="K69" s="26"/>
      <c r="L69" s="26"/>
      <c r="M69" s="26"/>
      <c r="N69" s="26">
        <v>1</v>
      </c>
    </row>
    <row r="70" spans="1:14" ht="25.5" x14ac:dyDescent="0.2">
      <c r="A70" s="20">
        <v>69</v>
      </c>
      <c r="B70" s="21" t="s">
        <v>139</v>
      </c>
      <c r="C70" s="21" t="s">
        <v>140</v>
      </c>
      <c r="D70" s="26">
        <f t="shared" si="1"/>
        <v>0.5</v>
      </c>
      <c r="E70" s="26"/>
      <c r="F70" s="26"/>
      <c r="G70" s="26"/>
      <c r="H70" s="26"/>
      <c r="I70" s="26"/>
      <c r="J70" s="26"/>
      <c r="K70" s="26"/>
      <c r="L70" s="26">
        <v>0.5</v>
      </c>
      <c r="M70" s="26"/>
      <c r="N70" s="26"/>
    </row>
    <row r="71" spans="1:14" ht="25.5" x14ac:dyDescent="0.2">
      <c r="A71" s="20">
        <v>70</v>
      </c>
      <c r="B71" s="21" t="s">
        <v>141</v>
      </c>
      <c r="C71" s="21" t="s">
        <v>140</v>
      </c>
      <c r="D71" s="26">
        <f t="shared" si="1"/>
        <v>1</v>
      </c>
      <c r="E71" s="26"/>
      <c r="F71" s="26"/>
      <c r="G71" s="26">
        <v>0.5</v>
      </c>
      <c r="H71" s="26"/>
      <c r="I71" s="26">
        <v>0.5</v>
      </c>
      <c r="J71" s="26">
        <v>0.5</v>
      </c>
      <c r="K71" s="26">
        <v>0.5</v>
      </c>
      <c r="L71" s="26"/>
      <c r="M71" s="26"/>
      <c r="N71" s="26"/>
    </row>
    <row r="72" spans="1:14" ht="25.5" x14ac:dyDescent="0.2">
      <c r="A72" s="20">
        <v>71</v>
      </c>
      <c r="B72" s="21" t="s">
        <v>142</v>
      </c>
      <c r="C72" s="21" t="s">
        <v>143</v>
      </c>
      <c r="D72" s="26">
        <f t="shared" si="1"/>
        <v>1</v>
      </c>
      <c r="E72" s="26"/>
      <c r="F72" s="26"/>
      <c r="G72" s="26"/>
      <c r="H72" s="26"/>
      <c r="I72" s="26">
        <v>0.5</v>
      </c>
      <c r="J72" s="26"/>
      <c r="K72" s="26"/>
      <c r="L72" s="26"/>
      <c r="M72" s="26">
        <v>1</v>
      </c>
      <c r="N72" s="26"/>
    </row>
    <row r="73" spans="1:14" ht="25.5" x14ac:dyDescent="0.2">
      <c r="A73" s="20">
        <v>72</v>
      </c>
      <c r="B73" s="21" t="s">
        <v>144</v>
      </c>
      <c r="C73" s="21" t="s">
        <v>145</v>
      </c>
      <c r="D73" s="26">
        <f t="shared" si="1"/>
        <v>1</v>
      </c>
      <c r="E73" s="26"/>
      <c r="F73" s="26">
        <v>0.5</v>
      </c>
      <c r="G73" s="26">
        <v>0.5</v>
      </c>
      <c r="H73" s="26">
        <v>0.5</v>
      </c>
      <c r="I73" s="26">
        <f>0.5+0.5</f>
        <v>1</v>
      </c>
      <c r="J73" s="26">
        <v>0.5</v>
      </c>
      <c r="K73" s="26">
        <v>0.5</v>
      </c>
      <c r="L73" s="26"/>
      <c r="M73" s="26"/>
      <c r="N73" s="26"/>
    </row>
    <row r="74" spans="1:14" ht="25.5" x14ac:dyDescent="0.2">
      <c r="A74" s="20">
        <v>73</v>
      </c>
      <c r="B74" s="21" t="s">
        <v>146</v>
      </c>
      <c r="C74" s="21" t="s">
        <v>147</v>
      </c>
      <c r="D74" s="26">
        <f t="shared" si="1"/>
        <v>0</v>
      </c>
      <c r="E74" s="26"/>
      <c r="F74" s="26"/>
      <c r="G74" s="26"/>
      <c r="H74" s="26"/>
      <c r="I74" s="26"/>
      <c r="J74" s="26"/>
      <c r="K74" s="26"/>
      <c r="L74" s="26"/>
      <c r="M74" s="26"/>
      <c r="N74" s="26"/>
    </row>
    <row r="75" spans="1:14" ht="25.5" x14ac:dyDescent="0.2">
      <c r="A75" s="20">
        <v>74</v>
      </c>
      <c r="B75" s="21" t="s">
        <v>148</v>
      </c>
      <c r="C75" s="21" t="s">
        <v>149</v>
      </c>
      <c r="D75" s="26">
        <f t="shared" si="1"/>
        <v>1</v>
      </c>
      <c r="E75" s="26">
        <v>0.5</v>
      </c>
      <c r="F75" s="26"/>
      <c r="G75" s="26"/>
      <c r="H75" s="26"/>
      <c r="I75" s="26">
        <v>0.5</v>
      </c>
      <c r="J75" s="26">
        <v>0.5</v>
      </c>
      <c r="K75" s="26">
        <v>0.5</v>
      </c>
      <c r="L75" s="26"/>
      <c r="M75" s="26"/>
      <c r="N75" s="26"/>
    </row>
    <row r="76" spans="1:14" ht="25.5" x14ac:dyDescent="0.2">
      <c r="A76" s="20">
        <v>75</v>
      </c>
      <c r="B76" s="21" t="s">
        <v>150</v>
      </c>
      <c r="C76" s="21" t="s">
        <v>151</v>
      </c>
      <c r="D76" s="26">
        <f t="shared" si="1"/>
        <v>0</v>
      </c>
      <c r="E76" s="26"/>
      <c r="F76" s="26"/>
      <c r="G76" s="26"/>
      <c r="H76" s="26"/>
      <c r="I76" s="26"/>
      <c r="J76" s="26"/>
      <c r="K76" s="26"/>
      <c r="L76" s="26"/>
      <c r="M76" s="26"/>
      <c r="N76" s="26"/>
    </row>
    <row r="77" spans="1:14" ht="25.5" x14ac:dyDescent="0.2">
      <c r="A77" s="20">
        <v>76</v>
      </c>
      <c r="B77" s="21" t="s">
        <v>152</v>
      </c>
      <c r="C77" s="21" t="s">
        <v>153</v>
      </c>
      <c r="D77" s="26">
        <f t="shared" si="1"/>
        <v>0.5</v>
      </c>
      <c r="E77" s="26">
        <v>0.5</v>
      </c>
      <c r="F77" s="26"/>
      <c r="G77" s="26"/>
      <c r="H77" s="26"/>
      <c r="I77" s="26"/>
      <c r="J77" s="26"/>
      <c r="K77" s="26"/>
      <c r="L77" s="26"/>
      <c r="M77" s="26"/>
      <c r="N77" s="26"/>
    </row>
    <row r="78" spans="1:14" ht="25.5" x14ac:dyDescent="0.2">
      <c r="A78" s="20">
        <v>77</v>
      </c>
      <c r="B78" s="21" t="s">
        <v>154</v>
      </c>
      <c r="C78" s="21" t="s">
        <v>155</v>
      </c>
      <c r="D78" s="26">
        <f t="shared" si="1"/>
        <v>1</v>
      </c>
      <c r="E78" s="26">
        <v>0.5</v>
      </c>
      <c r="F78" s="26">
        <v>0.5</v>
      </c>
      <c r="G78" s="26"/>
      <c r="H78" s="26"/>
      <c r="I78" s="26"/>
      <c r="J78" s="26"/>
      <c r="K78" s="26"/>
      <c r="L78" s="26"/>
      <c r="M78" s="26"/>
      <c r="N78" s="26"/>
    </row>
    <row r="79" spans="1:14" ht="25.5" x14ac:dyDescent="0.2">
      <c r="A79" s="20">
        <v>78</v>
      </c>
      <c r="B79" s="21" t="s">
        <v>156</v>
      </c>
      <c r="C79" s="21" t="s">
        <v>157</v>
      </c>
      <c r="D79" s="26">
        <f t="shared" si="1"/>
        <v>0.5</v>
      </c>
      <c r="E79" s="26"/>
      <c r="F79" s="26"/>
      <c r="G79" s="26"/>
      <c r="H79" s="26"/>
      <c r="I79" s="26"/>
      <c r="J79" s="26"/>
      <c r="K79" s="26"/>
      <c r="L79" s="26">
        <v>0.5</v>
      </c>
      <c r="M79" s="26"/>
      <c r="N79" s="26"/>
    </row>
    <row r="80" spans="1:14" ht="25.5" x14ac:dyDescent="0.2">
      <c r="A80" s="20">
        <v>79</v>
      </c>
      <c r="B80" s="21" t="s">
        <v>158</v>
      </c>
      <c r="C80" s="21" t="s">
        <v>159</v>
      </c>
      <c r="D80" s="26">
        <f t="shared" si="1"/>
        <v>1</v>
      </c>
      <c r="E80" s="26"/>
      <c r="F80" s="26"/>
      <c r="G80" s="26"/>
      <c r="H80" s="26"/>
      <c r="I80" s="26"/>
      <c r="J80" s="26">
        <v>0.5</v>
      </c>
      <c r="K80" s="26"/>
      <c r="L80" s="26"/>
      <c r="M80" s="26">
        <v>1</v>
      </c>
      <c r="N80" s="26"/>
    </row>
    <row r="81" spans="1:14" ht="25.5" x14ac:dyDescent="0.2">
      <c r="A81" s="20">
        <v>80</v>
      </c>
      <c r="B81" s="21" t="s">
        <v>160</v>
      </c>
      <c r="C81" s="21" t="s">
        <v>161</v>
      </c>
      <c r="D81" s="26">
        <f t="shared" si="1"/>
        <v>1</v>
      </c>
      <c r="E81" s="26">
        <v>0.5</v>
      </c>
      <c r="F81" s="26">
        <v>0.5</v>
      </c>
      <c r="G81" s="26"/>
      <c r="H81" s="26"/>
      <c r="I81" s="26">
        <v>0.5</v>
      </c>
      <c r="J81" s="26">
        <v>0.5</v>
      </c>
      <c r="K81" s="26"/>
      <c r="L81" s="26">
        <v>0.5</v>
      </c>
      <c r="M81" s="26"/>
      <c r="N81" s="26"/>
    </row>
    <row r="82" spans="1:14" ht="25.5" x14ac:dyDescent="0.2">
      <c r="A82" s="20">
        <v>81</v>
      </c>
      <c r="B82" s="21" t="s">
        <v>162</v>
      </c>
      <c r="C82" s="21" t="s">
        <v>163</v>
      </c>
      <c r="D82" s="26">
        <f t="shared" si="1"/>
        <v>0.5</v>
      </c>
      <c r="E82" s="26"/>
      <c r="F82" s="26">
        <v>0.5</v>
      </c>
      <c r="G82" s="26"/>
      <c r="H82" s="26"/>
      <c r="I82" s="26"/>
      <c r="J82" s="26"/>
      <c r="K82" s="26"/>
      <c r="L82" s="26"/>
      <c r="M82" s="26"/>
      <c r="N82" s="26"/>
    </row>
    <row r="83" spans="1:14" ht="25.5" x14ac:dyDescent="0.2">
      <c r="A83" s="20">
        <v>82</v>
      </c>
      <c r="B83" s="21" t="s">
        <v>164</v>
      </c>
      <c r="C83" s="21" t="s">
        <v>165</v>
      </c>
      <c r="D83" s="26">
        <f t="shared" si="1"/>
        <v>0.5</v>
      </c>
      <c r="E83" s="26"/>
      <c r="F83" s="26"/>
      <c r="G83" s="26"/>
      <c r="H83" s="26"/>
      <c r="I83" s="26"/>
      <c r="J83" s="26"/>
      <c r="K83" s="26"/>
      <c r="L83" s="26">
        <v>0.5</v>
      </c>
      <c r="M83" s="26"/>
      <c r="N83" s="26"/>
    </row>
    <row r="84" spans="1:14" ht="25.5" x14ac:dyDescent="0.2">
      <c r="A84" s="20">
        <v>83</v>
      </c>
      <c r="B84" s="21" t="s">
        <v>166</v>
      </c>
      <c r="C84" s="21" t="s">
        <v>167</v>
      </c>
      <c r="D84" s="26">
        <f t="shared" si="1"/>
        <v>0</v>
      </c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25.5" x14ac:dyDescent="0.2">
      <c r="A85" s="20">
        <v>84</v>
      </c>
      <c r="B85" s="21" t="s">
        <v>168</v>
      </c>
      <c r="C85" s="21" t="s">
        <v>169</v>
      </c>
      <c r="D85" s="26">
        <f t="shared" si="1"/>
        <v>1</v>
      </c>
      <c r="E85" s="26"/>
      <c r="F85" s="26">
        <v>0.5</v>
      </c>
      <c r="G85" s="26"/>
      <c r="H85" s="26">
        <v>0.5</v>
      </c>
      <c r="I85" s="26">
        <v>1</v>
      </c>
      <c r="J85" s="26">
        <v>0.5</v>
      </c>
      <c r="K85" s="26"/>
      <c r="L85" s="26"/>
      <c r="M85" s="26"/>
      <c r="N85" s="26"/>
    </row>
    <row r="86" spans="1:14" ht="25.5" x14ac:dyDescent="0.2">
      <c r="A86" s="20">
        <v>85</v>
      </c>
      <c r="B86" s="21" t="s">
        <v>170</v>
      </c>
      <c r="C86" s="21" t="s">
        <v>171</v>
      </c>
      <c r="D86" s="26">
        <f t="shared" si="1"/>
        <v>0</v>
      </c>
      <c r="E86" s="26"/>
      <c r="F86" s="26"/>
      <c r="G86" s="26"/>
      <c r="H86" s="26"/>
      <c r="I86" s="26"/>
      <c r="J86" s="26"/>
      <c r="K86" s="26"/>
      <c r="L86" s="26"/>
      <c r="M86" s="26"/>
      <c r="N86" s="26"/>
    </row>
    <row r="87" spans="1:14" ht="25.5" x14ac:dyDescent="0.2">
      <c r="A87" s="20">
        <v>86</v>
      </c>
      <c r="B87" s="21" t="s">
        <v>172</v>
      </c>
      <c r="C87" s="21" t="s">
        <v>173</v>
      </c>
      <c r="D87" s="26">
        <f t="shared" si="1"/>
        <v>0.5</v>
      </c>
      <c r="E87" s="26"/>
      <c r="F87" s="26"/>
      <c r="G87" s="26"/>
      <c r="H87" s="26"/>
      <c r="I87" s="26"/>
      <c r="J87" s="26"/>
      <c r="K87" s="26"/>
      <c r="L87" s="26">
        <v>0.5</v>
      </c>
      <c r="M87" s="26"/>
      <c r="N87" s="26"/>
    </row>
    <row r="88" spans="1:14" ht="25.5" x14ac:dyDescent="0.2">
      <c r="A88" s="20">
        <v>87</v>
      </c>
      <c r="B88" s="21" t="s">
        <v>174</v>
      </c>
      <c r="C88" s="21" t="s">
        <v>175</v>
      </c>
      <c r="D88" s="26">
        <f t="shared" si="1"/>
        <v>0</v>
      </c>
      <c r="E88" s="26"/>
      <c r="F88" s="26"/>
      <c r="G88" s="26"/>
      <c r="H88" s="26"/>
      <c r="I88" s="26"/>
      <c r="J88" s="26"/>
      <c r="K88" s="26"/>
      <c r="L88" s="26"/>
      <c r="M88" s="26"/>
      <c r="N88" s="26"/>
    </row>
    <row r="89" spans="1:14" ht="25.5" x14ac:dyDescent="0.2">
      <c r="A89" s="20">
        <v>88</v>
      </c>
      <c r="B89" s="21" t="s">
        <v>176</v>
      </c>
      <c r="C89" s="21" t="s">
        <v>177</v>
      </c>
      <c r="D89" s="26">
        <f t="shared" si="1"/>
        <v>1</v>
      </c>
      <c r="E89" s="26">
        <v>0.5</v>
      </c>
      <c r="F89" s="26">
        <v>0.5</v>
      </c>
      <c r="G89" s="26"/>
      <c r="H89" s="26"/>
      <c r="I89" s="26">
        <v>0.5</v>
      </c>
      <c r="J89" s="26"/>
      <c r="K89" s="26">
        <v>0.5</v>
      </c>
      <c r="L89" s="26"/>
      <c r="M89" s="26"/>
      <c r="N89" s="26"/>
    </row>
    <row r="90" spans="1:14" ht="25.5" x14ac:dyDescent="0.2">
      <c r="A90" s="20">
        <v>89</v>
      </c>
      <c r="B90" s="21" t="s">
        <v>178</v>
      </c>
      <c r="C90" s="21" t="s">
        <v>179</v>
      </c>
      <c r="D90" s="26">
        <f t="shared" si="1"/>
        <v>1</v>
      </c>
      <c r="E90" s="26"/>
      <c r="F90" s="26"/>
      <c r="G90" s="26"/>
      <c r="H90" s="26"/>
      <c r="I90" s="26">
        <v>0.5</v>
      </c>
      <c r="J90" s="26">
        <v>0.5</v>
      </c>
      <c r="K90" s="26"/>
      <c r="L90" s="26"/>
      <c r="M90" s="26"/>
      <c r="N90" s="26"/>
    </row>
    <row r="91" spans="1:14" ht="25.5" x14ac:dyDescent="0.2">
      <c r="A91" s="20">
        <v>90</v>
      </c>
      <c r="B91" s="21" t="s">
        <v>180</v>
      </c>
      <c r="C91" s="21" t="s">
        <v>181</v>
      </c>
      <c r="D91" s="26">
        <f t="shared" si="1"/>
        <v>0</v>
      </c>
      <c r="E91" s="26"/>
      <c r="F91" s="26"/>
      <c r="G91" s="26"/>
      <c r="H91" s="26"/>
      <c r="I91" s="26"/>
      <c r="J91" s="26"/>
      <c r="K91" s="26"/>
      <c r="L91" s="26"/>
      <c r="M91" s="26"/>
      <c r="N91" s="26"/>
    </row>
    <row r="92" spans="1:14" ht="25.5" x14ac:dyDescent="0.2">
      <c r="A92" s="20">
        <v>91</v>
      </c>
      <c r="B92" s="21" t="s">
        <v>182</v>
      </c>
      <c r="C92" s="21" t="s">
        <v>183</v>
      </c>
      <c r="D92" s="26">
        <f t="shared" si="1"/>
        <v>1</v>
      </c>
      <c r="E92" s="26"/>
      <c r="F92" s="26"/>
      <c r="G92" s="26"/>
      <c r="H92" s="26"/>
      <c r="I92" s="26"/>
      <c r="J92" s="26"/>
      <c r="K92" s="26"/>
      <c r="L92" s="26"/>
      <c r="M92" s="26"/>
      <c r="N92" s="26">
        <v>1</v>
      </c>
    </row>
    <row r="93" spans="1:14" ht="25.5" x14ac:dyDescent="0.2">
      <c r="A93" s="20">
        <v>92</v>
      </c>
      <c r="B93" s="21" t="s">
        <v>184</v>
      </c>
      <c r="C93" s="21" t="s">
        <v>185</v>
      </c>
      <c r="D93" s="26">
        <f t="shared" si="1"/>
        <v>0.5</v>
      </c>
      <c r="E93" s="26"/>
      <c r="F93" s="26"/>
      <c r="G93" s="26"/>
      <c r="H93" s="26"/>
      <c r="I93" s="26">
        <v>0.5</v>
      </c>
      <c r="J93" s="26"/>
      <c r="K93" s="26"/>
      <c r="L93" s="26"/>
      <c r="M93" s="26"/>
      <c r="N93" s="26"/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" right="0" top="0" bottom="0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</vt:lpstr>
      <vt:lpstr>Điểm Ktra và điểm thi</vt:lpstr>
      <vt:lpstr>Điểm danh</vt:lpstr>
      <vt:lpstr>Điểm bài tập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Trần Minh Phú - B2306573</cp:lastModifiedBy>
  <dcterms:created xsi:type="dcterms:W3CDTF">2023-09-21T06:10:47Z</dcterms:created>
  <dcterms:modified xsi:type="dcterms:W3CDTF">2023-11-30T09:26:00Z</dcterms:modified>
  <cp:category/>
</cp:coreProperties>
</file>